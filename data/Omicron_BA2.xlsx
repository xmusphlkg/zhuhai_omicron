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AC020C87-C629-4B7C-93D3-59091E8D0C8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 (3)" sheetId="3" r:id="rId1"/>
    <sheet name="Sheet1 (2)" sheetId="2" r:id="rId2"/>
    <sheet name="Sheet3" sheetId="4" r:id="rId3"/>
    <sheet name="Sheet1" sheetId="1" r:id="rId4"/>
  </sheets>
  <definedNames>
    <definedName name="_xlnm._FilterDatabase" localSheetId="3" hidden="1">Sheet1!$A$1:$T$36</definedName>
    <definedName name="_xlnm._FilterDatabase" localSheetId="1" hidden="1">'Sheet1 (2)'!$A$1:$N$36</definedName>
    <definedName name="_xlnm._FilterDatabase" localSheetId="0" hidden="1">'Sheet1 (3)'!$A$1:$N$36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11" i="1" l="1"/>
  <c r="M2" i="1"/>
</calcChain>
</file>

<file path=xl/sharedStrings.xml><?xml version="1.0" encoding="utf-8"?>
<sst xmlns="http://schemas.openxmlformats.org/spreadsheetml/2006/main" count="523" uniqueCount="83">
  <si>
    <t>id</t>
    <phoneticPr fontId="2" type="noConversion"/>
  </si>
  <si>
    <t>infector</t>
    <phoneticPr fontId="2" type="noConversion"/>
  </si>
  <si>
    <t>age</t>
    <phoneticPr fontId="2" type="noConversion"/>
  </si>
  <si>
    <t>type</t>
    <phoneticPr fontId="2" type="noConversion"/>
  </si>
  <si>
    <t>dateexpose1</t>
    <phoneticPr fontId="2" type="noConversion"/>
  </si>
  <si>
    <t>dateexpose2</t>
    <phoneticPr fontId="2" type="noConversion"/>
  </si>
  <si>
    <t>dateonset</t>
    <phoneticPr fontId="2" type="noConversion"/>
  </si>
  <si>
    <t>datepositive</t>
    <phoneticPr fontId="2" type="noConversion"/>
  </si>
  <si>
    <t>datereport</t>
    <phoneticPr fontId="2" type="noConversion"/>
  </si>
  <si>
    <t>vaccine</t>
    <phoneticPr fontId="2" type="noConversion"/>
  </si>
  <si>
    <t>Asymptomatic</t>
  </si>
  <si>
    <t>gender</t>
    <phoneticPr fontId="2" type="noConversion"/>
  </si>
  <si>
    <t>vaccine1date</t>
  </si>
  <si>
    <t>vaccine1make</t>
    <phoneticPr fontId="2" type="noConversion"/>
  </si>
  <si>
    <t>vaccine2date</t>
    <phoneticPr fontId="2" type="noConversion"/>
  </si>
  <si>
    <t>vaccine2make</t>
    <phoneticPr fontId="2" type="noConversion"/>
  </si>
  <si>
    <t>vaccine3date</t>
    <phoneticPr fontId="2" type="noConversion"/>
  </si>
  <si>
    <t>vaccine3make</t>
    <phoneticPr fontId="2" type="noConversion"/>
  </si>
  <si>
    <t>Throat_O</t>
    <phoneticPr fontId="2" type="noConversion"/>
  </si>
  <si>
    <t>Throat_N</t>
    <phoneticPr fontId="2" type="noConversion"/>
  </si>
  <si>
    <t>Moderate</t>
    <phoneticPr fontId="2" type="noConversion"/>
  </si>
  <si>
    <t>科兴中维</t>
  </si>
  <si>
    <t>北京生物</t>
  </si>
  <si>
    <t>Mild</t>
    <phoneticPr fontId="2" type="noConversion"/>
  </si>
  <si>
    <t>北京科兴中维</t>
  </si>
  <si>
    <t>长春祁健</t>
  </si>
  <si>
    <t/>
  </si>
  <si>
    <t>北京科兴</t>
  </si>
  <si>
    <t>成都生物</t>
  </si>
  <si>
    <t>长春祈健</t>
  </si>
  <si>
    <t>康希诺</t>
  </si>
  <si>
    <t>Biontech疫苗</t>
  </si>
  <si>
    <t>vaccine_type</t>
    <phoneticPr fontId="2" type="noConversion"/>
  </si>
  <si>
    <t>Combind</t>
    <phoneticPr fontId="2" type="noConversion"/>
  </si>
  <si>
    <t>Combind</t>
  </si>
  <si>
    <t>Sinopharm</t>
    <phoneticPr fontId="2" type="noConversion"/>
  </si>
  <si>
    <t>Sinovac</t>
    <phoneticPr fontId="2" type="noConversion"/>
  </si>
  <si>
    <t>北京生物</t>
    <phoneticPr fontId="2" type="noConversion"/>
  </si>
  <si>
    <t>长春生物</t>
    <phoneticPr fontId="2" type="noConversion"/>
  </si>
  <si>
    <t>Cansino</t>
    <phoneticPr fontId="2" type="noConversion"/>
  </si>
  <si>
    <t>Male</t>
  </si>
  <si>
    <t>Female</t>
  </si>
  <si>
    <t>vaccinelastdate</t>
    <phoneticPr fontId="2" type="noConversion"/>
  </si>
  <si>
    <t>datereported</t>
    <phoneticPr fontId="2" type="noConversion"/>
  </si>
  <si>
    <t>姓名</t>
  </si>
  <si>
    <t>杨维腾</t>
    <phoneticPr fontId="2" type="noConversion"/>
  </si>
  <si>
    <t>谢海泉</t>
    <phoneticPr fontId="2" type="noConversion"/>
  </si>
  <si>
    <t>吴希海</t>
    <phoneticPr fontId="2" type="noConversion"/>
  </si>
  <si>
    <t>罗兆笛</t>
    <phoneticPr fontId="2" type="noConversion"/>
  </si>
  <si>
    <t>谢静雯</t>
    <phoneticPr fontId="2" type="noConversion"/>
  </si>
  <si>
    <t>胡珊珊</t>
    <phoneticPr fontId="2" type="noConversion"/>
  </si>
  <si>
    <t>方佳琪</t>
    <phoneticPr fontId="2" type="noConversion"/>
  </si>
  <si>
    <t>杨晶</t>
    <phoneticPr fontId="2" type="noConversion"/>
  </si>
  <si>
    <t>李美珠</t>
    <phoneticPr fontId="2" type="noConversion"/>
  </si>
  <si>
    <t>袁兰媚</t>
    <phoneticPr fontId="2" type="noConversion"/>
  </si>
  <si>
    <t>吴为双</t>
    <phoneticPr fontId="2" type="noConversion"/>
  </si>
  <si>
    <t>王梓莹</t>
    <phoneticPr fontId="2" type="noConversion"/>
  </si>
  <si>
    <t>陈祖钱</t>
    <phoneticPr fontId="2" type="noConversion"/>
  </si>
  <si>
    <t>杨勐</t>
    <phoneticPr fontId="2" type="noConversion"/>
  </si>
  <si>
    <t>刘霞</t>
    <phoneticPr fontId="2" type="noConversion"/>
  </si>
  <si>
    <t>张志共</t>
    <phoneticPr fontId="2" type="noConversion"/>
  </si>
  <si>
    <t>凡莉</t>
    <phoneticPr fontId="2" type="noConversion"/>
  </si>
  <si>
    <t>谢世中</t>
    <phoneticPr fontId="2" type="noConversion"/>
  </si>
  <si>
    <t>李伟</t>
    <phoneticPr fontId="2" type="noConversion"/>
  </si>
  <si>
    <t>李叶琴</t>
    <phoneticPr fontId="2" type="noConversion"/>
  </si>
  <si>
    <t>赵俊萍</t>
    <phoneticPr fontId="2" type="noConversion"/>
  </si>
  <si>
    <t>叶玲珠</t>
    <phoneticPr fontId="2" type="noConversion"/>
  </si>
  <si>
    <t>任传康</t>
    <phoneticPr fontId="2" type="noConversion"/>
  </si>
  <si>
    <t>崔红</t>
    <phoneticPr fontId="2" type="noConversion"/>
  </si>
  <si>
    <t>丁浩阳</t>
    <phoneticPr fontId="2" type="noConversion"/>
  </si>
  <si>
    <t>KIMKYUSUB</t>
    <phoneticPr fontId="2" type="noConversion"/>
  </si>
  <si>
    <t>谷利萍</t>
    <phoneticPr fontId="2" type="noConversion"/>
  </si>
  <si>
    <t>黄智铉</t>
    <phoneticPr fontId="2" type="noConversion"/>
  </si>
  <si>
    <t>许婷婷</t>
    <phoneticPr fontId="2" type="noConversion"/>
  </si>
  <si>
    <t>冯华宾</t>
    <phoneticPr fontId="2" type="noConversion"/>
  </si>
  <si>
    <t>方瑞英</t>
    <phoneticPr fontId="2" type="noConversion"/>
  </si>
  <si>
    <t>黄洺磊</t>
    <phoneticPr fontId="2" type="noConversion"/>
  </si>
  <si>
    <t>许巧婷</t>
    <phoneticPr fontId="2" type="noConversion"/>
  </si>
  <si>
    <t>黄晓振</t>
    <phoneticPr fontId="2" type="noConversion"/>
  </si>
  <si>
    <t>何佳乐</t>
    <phoneticPr fontId="2" type="noConversion"/>
  </si>
  <si>
    <t>Sinopharm</t>
  </si>
  <si>
    <t>Sinovac</t>
  </si>
  <si>
    <t>Cansino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</si>
</sst>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;@"/>
    <numFmt numFmtId="177" formatCode="yyyy/m/d;@"/>
  </numFmts>
  <fonts count="8" x14ac:knownFonts="1"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2"/>
      <name val="仿宋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6AAC-8092-484B-A2CF-165E2E14B0B6}">
  <dimension ref="A1:O36"/>
  <sheetViews>
    <sheetView tabSelected="1" workbookViewId="0">
      <selection activeCell="M11" sqref="M11"/>
    </sheetView>
  </sheetViews>
  <sheetFormatPr defaultRowHeight="14.25" x14ac:dyDescent="0.2"/>
  <cols>
    <col min="4" max="4" width="13" customWidth="1"/>
    <col min="5" max="9" width="15.5" customWidth="1"/>
    <col min="10" max="10" width="17.5" customWidth="1"/>
    <col min="11" max="11" width="11.125" bestFit="1" customWidth="1"/>
    <col min="12" max="13" width="13.75" customWidth="1"/>
  </cols>
  <sheetData>
    <row r="1" spans="1:15" ht="28.5" x14ac:dyDescent="0.2">
      <c r="A1" s="6" t="s">
        <v>0</v>
      </c>
      <c r="B1" s="6" t="s">
        <v>11</v>
      </c>
      <c r="C1" s="6" t="s">
        <v>44</v>
      </c>
      <c r="D1" s="6" t="s">
        <v>2</v>
      </c>
      <c r="E1" s="7" t="s">
        <v>3</v>
      </c>
      <c r="F1" s="6" t="s">
        <v>4</v>
      </c>
      <c r="G1" s="6" t="s">
        <v>5</v>
      </c>
      <c r="H1" s="8" t="s">
        <v>6</v>
      </c>
      <c r="I1" s="9" t="s">
        <v>7</v>
      </c>
      <c r="J1" s="9" t="s">
        <v>43</v>
      </c>
      <c r="K1" s="6" t="s">
        <v>9</v>
      </c>
      <c r="L1" s="6" t="s">
        <v>32</v>
      </c>
      <c r="M1" s="6" t="s">
        <v>42</v>
      </c>
      <c r="N1" s="12" t="s">
        <v>18</v>
      </c>
      <c r="O1" s="12" t="s">
        <v>19</v>
      </c>
    </row>
    <row r="2" spans="1:15" x14ac:dyDescent="0.2">
      <c r="A2" s="1">
        <v>1</v>
      </c>
      <c r="B2" s="2" t="s">
        <v>40</v>
      </c>
      <c r="C2" s="1" t="s">
        <v>45</v>
      </c>
      <c r="D2" s="1">
        <v>31</v>
      </c>
      <c r="E2" s="3" t="s">
        <v>20</v>
      </c>
      <c r="F2" s="5">
        <v>44629</v>
      </c>
      <c r="G2" s="5">
        <v>44630</v>
      </c>
      <c r="H2" s="5">
        <v>44631</v>
      </c>
      <c r="I2" s="10">
        <v>44631</v>
      </c>
      <c r="J2" s="10">
        <v>44631.951388888891</v>
      </c>
      <c r="K2" s="4">
        <v>3</v>
      </c>
      <c r="L2" s="4" t="s">
        <v>34</v>
      </c>
      <c r="M2" s="5">
        <v>44598</v>
      </c>
      <c r="N2" s="14">
        <v>24.6</v>
      </c>
      <c r="O2" s="14">
        <v>23.22</v>
      </c>
    </row>
    <row r="3" spans="1:15" x14ac:dyDescent="0.2">
      <c r="A3" s="1">
        <v>2</v>
      </c>
      <c r="B3" s="2" t="s">
        <v>40</v>
      </c>
      <c r="C3" s="1" t="s">
        <v>46</v>
      </c>
      <c r="D3" s="1">
        <v>35</v>
      </c>
      <c r="E3" s="3" t="s">
        <v>23</v>
      </c>
      <c r="F3" s="5">
        <v>44627</v>
      </c>
      <c r="G3" s="5">
        <v>44632</v>
      </c>
      <c r="H3" s="5">
        <v>44633</v>
      </c>
      <c r="I3" s="10">
        <v>44633</v>
      </c>
      <c r="J3" s="10">
        <v>44634.31659722222</v>
      </c>
      <c r="K3" s="1">
        <v>3</v>
      </c>
      <c r="L3" s="1" t="s">
        <v>34</v>
      </c>
      <c r="M3" s="5">
        <v>44601</v>
      </c>
      <c r="N3" s="16">
        <v>24.01</v>
      </c>
      <c r="O3" s="16">
        <v>21.76</v>
      </c>
    </row>
    <row r="4" spans="1:15" x14ac:dyDescent="0.2">
      <c r="A4" s="1">
        <v>3</v>
      </c>
      <c r="B4" s="2" t="s">
        <v>40</v>
      </c>
      <c r="C4" s="1" t="s">
        <v>47</v>
      </c>
      <c r="D4" s="1">
        <v>40</v>
      </c>
      <c r="E4" s="3" t="s">
        <v>23</v>
      </c>
      <c r="F4" s="5">
        <v>44630</v>
      </c>
      <c r="G4" s="5">
        <v>44633</v>
      </c>
      <c r="H4" s="5">
        <v>44633</v>
      </c>
      <c r="I4" s="10">
        <v>44633</v>
      </c>
      <c r="J4" s="10">
        <v>44634.468738425923</v>
      </c>
      <c r="K4" s="1">
        <v>3</v>
      </c>
      <c r="L4" s="1" t="s">
        <v>80</v>
      </c>
      <c r="M4" s="5">
        <v>44557</v>
      </c>
      <c r="N4" s="16">
        <v>21.97</v>
      </c>
      <c r="O4" s="16">
        <v>21.27</v>
      </c>
    </row>
    <row r="5" spans="1:15" x14ac:dyDescent="0.2">
      <c r="A5" s="1">
        <v>4</v>
      </c>
      <c r="B5" s="2" t="s">
        <v>40</v>
      </c>
      <c r="C5" s="1" t="s">
        <v>48</v>
      </c>
      <c r="D5" s="1">
        <v>33</v>
      </c>
      <c r="E5" s="3" t="s">
        <v>20</v>
      </c>
      <c r="F5" s="5">
        <v>44632</v>
      </c>
      <c r="G5" s="5">
        <v>44632</v>
      </c>
      <c r="H5" s="5">
        <v>44634</v>
      </c>
      <c r="I5" s="10">
        <v>44634</v>
      </c>
      <c r="J5" s="10">
        <v>44635.300555555557</v>
      </c>
      <c r="K5" s="1">
        <v>2</v>
      </c>
      <c r="L5" s="4" t="s">
        <v>34</v>
      </c>
      <c r="M5" s="5">
        <v>44469</v>
      </c>
      <c r="N5" s="16">
        <v>27.83</v>
      </c>
      <c r="O5" s="16">
        <v>24.46</v>
      </c>
    </row>
    <row r="6" spans="1:15" x14ac:dyDescent="0.2">
      <c r="A6" s="1">
        <v>5</v>
      </c>
      <c r="B6" s="2" t="s">
        <v>41</v>
      </c>
      <c r="C6" s="1" t="s">
        <v>49</v>
      </c>
      <c r="D6" s="1">
        <v>26</v>
      </c>
      <c r="E6" s="3" t="s">
        <v>23</v>
      </c>
      <c r="F6" s="5">
        <v>44632</v>
      </c>
      <c r="G6" s="5">
        <v>44632</v>
      </c>
      <c r="H6" s="5">
        <v>44635</v>
      </c>
      <c r="I6" s="10">
        <v>44635</v>
      </c>
      <c r="J6" s="10">
        <v>44635.934907407405</v>
      </c>
      <c r="K6" s="1">
        <v>3</v>
      </c>
      <c r="L6" s="1" t="s">
        <v>81</v>
      </c>
      <c r="M6" s="5">
        <v>44559</v>
      </c>
      <c r="N6" s="16">
        <v>36.4</v>
      </c>
      <c r="O6" s="16">
        <v>33.04</v>
      </c>
    </row>
    <row r="7" spans="1:15" x14ac:dyDescent="0.2">
      <c r="A7" s="1">
        <v>6</v>
      </c>
      <c r="B7" s="2" t="s">
        <v>41</v>
      </c>
      <c r="C7" s="1" t="s">
        <v>50</v>
      </c>
      <c r="D7" s="1">
        <v>32</v>
      </c>
      <c r="E7" s="3" t="s">
        <v>23</v>
      </c>
      <c r="F7" s="5">
        <v>44632</v>
      </c>
      <c r="G7" s="5">
        <v>44632</v>
      </c>
      <c r="H7" s="5">
        <v>44635</v>
      </c>
      <c r="I7" s="10">
        <v>44635</v>
      </c>
      <c r="J7" s="10">
        <v>44636.29173611111</v>
      </c>
      <c r="K7" s="1">
        <v>2</v>
      </c>
      <c r="L7" s="1" t="s">
        <v>81</v>
      </c>
      <c r="M7" s="5">
        <v>44408</v>
      </c>
      <c r="N7" s="16">
        <v>37.880000000000003</v>
      </c>
      <c r="O7" s="16">
        <v>36.36</v>
      </c>
    </row>
    <row r="8" spans="1:15" x14ac:dyDescent="0.2">
      <c r="A8" s="1">
        <v>7</v>
      </c>
      <c r="B8" s="2" t="s">
        <v>41</v>
      </c>
      <c r="C8" s="1" t="s">
        <v>51</v>
      </c>
      <c r="D8" s="1">
        <v>22</v>
      </c>
      <c r="E8" s="3" t="s">
        <v>23</v>
      </c>
      <c r="F8" s="5">
        <v>44633</v>
      </c>
      <c r="G8" s="5">
        <v>44633</v>
      </c>
      <c r="H8" s="5">
        <v>44635</v>
      </c>
      <c r="I8" s="10">
        <v>44635</v>
      </c>
      <c r="J8" s="10">
        <v>44636.294895833336</v>
      </c>
      <c r="K8" s="1">
        <v>3</v>
      </c>
      <c r="L8" s="1" t="s">
        <v>80</v>
      </c>
      <c r="M8" s="5">
        <v>44531</v>
      </c>
      <c r="N8" s="16">
        <v>34.69</v>
      </c>
      <c r="O8" s="16">
        <v>34.61</v>
      </c>
    </row>
    <row r="9" spans="1:15" x14ac:dyDescent="0.2">
      <c r="A9" s="1">
        <v>8</v>
      </c>
      <c r="B9" s="2" t="s">
        <v>41</v>
      </c>
      <c r="C9" s="1" t="s">
        <v>52</v>
      </c>
      <c r="D9" s="1">
        <v>29</v>
      </c>
      <c r="E9" s="3" t="s">
        <v>20</v>
      </c>
      <c r="F9" s="5">
        <v>44632</v>
      </c>
      <c r="G9" s="5">
        <v>44632</v>
      </c>
      <c r="H9" s="5">
        <v>44635</v>
      </c>
      <c r="I9" s="10">
        <v>44636</v>
      </c>
      <c r="J9" s="10">
        <v>44636.309178240743</v>
      </c>
      <c r="K9" s="1">
        <v>2</v>
      </c>
      <c r="L9" s="1" t="s">
        <v>34</v>
      </c>
      <c r="M9" s="5">
        <v>44368</v>
      </c>
      <c r="N9" s="16">
        <v>30.6</v>
      </c>
      <c r="O9" s="16">
        <v>29.94</v>
      </c>
    </row>
    <row r="10" spans="1:15" x14ac:dyDescent="0.2">
      <c r="A10" s="1">
        <v>9</v>
      </c>
      <c r="B10" s="2" t="s">
        <v>41</v>
      </c>
      <c r="C10" s="1" t="s">
        <v>53</v>
      </c>
      <c r="D10" s="1">
        <v>64</v>
      </c>
      <c r="E10" s="3" t="s">
        <v>20</v>
      </c>
      <c r="F10" s="5">
        <v>44633</v>
      </c>
      <c r="G10" s="5">
        <v>44634</v>
      </c>
      <c r="H10" s="5">
        <v>44635</v>
      </c>
      <c r="I10" s="10">
        <v>44635</v>
      </c>
      <c r="J10" s="10">
        <v>44636.510717592595</v>
      </c>
      <c r="K10" s="1">
        <v>3</v>
      </c>
      <c r="L10" s="4" t="s">
        <v>34</v>
      </c>
      <c r="M10" s="5">
        <v>44587</v>
      </c>
      <c r="N10" s="16">
        <v>27.41</v>
      </c>
      <c r="O10" s="16">
        <v>25.23</v>
      </c>
    </row>
    <row r="11" spans="1:15" x14ac:dyDescent="0.2">
      <c r="A11" s="1">
        <v>10</v>
      </c>
      <c r="B11" s="2" t="s">
        <v>41</v>
      </c>
      <c r="C11" s="1" t="s">
        <v>54</v>
      </c>
      <c r="D11" s="1">
        <v>34</v>
      </c>
      <c r="E11" s="3" t="s">
        <v>20</v>
      </c>
      <c r="F11" s="5">
        <v>44631</v>
      </c>
      <c r="G11" s="5">
        <v>44633</v>
      </c>
      <c r="H11" s="5">
        <v>44635</v>
      </c>
      <c r="I11" s="10">
        <v>44636</v>
      </c>
      <c r="J11" s="10">
        <v>44636.883715277778</v>
      </c>
      <c r="K11" s="1">
        <v>3</v>
      </c>
      <c r="L11" s="1" t="s">
        <v>81</v>
      </c>
      <c r="M11" s="5">
        <v>44551</v>
      </c>
      <c r="N11" s="16">
        <v>32.78</v>
      </c>
      <c r="O11" s="16">
        <v>29.77</v>
      </c>
    </row>
    <row r="12" spans="1:15" x14ac:dyDescent="0.2">
      <c r="A12" s="1">
        <v>11</v>
      </c>
      <c r="B12" s="2" t="s">
        <v>40</v>
      </c>
      <c r="C12" s="1" t="s">
        <v>55</v>
      </c>
      <c r="D12" s="1">
        <v>66</v>
      </c>
      <c r="E12" s="3" t="s">
        <v>20</v>
      </c>
      <c r="F12" s="5">
        <v>44633</v>
      </c>
      <c r="G12" s="5">
        <v>44633</v>
      </c>
      <c r="H12" s="5">
        <v>44636</v>
      </c>
      <c r="I12" s="10">
        <v>44636</v>
      </c>
      <c r="J12" s="10">
        <v>44637.483298611114</v>
      </c>
      <c r="K12" s="1">
        <v>3</v>
      </c>
      <c r="L12" s="1" t="s">
        <v>81</v>
      </c>
      <c r="M12" s="5">
        <v>44616</v>
      </c>
      <c r="N12" s="16">
        <v>37.44</v>
      </c>
      <c r="O12" s="16">
        <v>33.21</v>
      </c>
    </row>
    <row r="13" spans="1:15" x14ac:dyDescent="0.2">
      <c r="A13" s="1">
        <v>12</v>
      </c>
      <c r="B13" s="2" t="s">
        <v>41</v>
      </c>
      <c r="C13" s="1" t="s">
        <v>56</v>
      </c>
      <c r="D13" s="1">
        <v>31</v>
      </c>
      <c r="E13" s="3" t="s">
        <v>23</v>
      </c>
      <c r="F13" s="5">
        <v>44630</v>
      </c>
      <c r="G13" s="5">
        <v>44636</v>
      </c>
      <c r="H13" s="5">
        <v>44637</v>
      </c>
      <c r="I13" s="10">
        <v>44637</v>
      </c>
      <c r="J13" s="10">
        <v>44638.348622685182</v>
      </c>
      <c r="K13" s="1">
        <v>2</v>
      </c>
      <c r="L13" s="1" t="s">
        <v>81</v>
      </c>
      <c r="M13" s="5">
        <v>44374</v>
      </c>
      <c r="N13" s="16">
        <v>20.63</v>
      </c>
      <c r="O13" s="16">
        <v>19.41</v>
      </c>
    </row>
    <row r="14" spans="1:15" x14ac:dyDescent="0.2">
      <c r="A14" s="1">
        <v>13</v>
      </c>
      <c r="B14" s="2" t="s">
        <v>40</v>
      </c>
      <c r="C14" s="1" t="s">
        <v>57</v>
      </c>
      <c r="D14" s="1">
        <v>27</v>
      </c>
      <c r="E14" s="3" t="s">
        <v>20</v>
      </c>
      <c r="F14" s="5">
        <v>44637</v>
      </c>
      <c r="G14" s="5">
        <v>44637</v>
      </c>
      <c r="H14" s="5">
        <v>44638</v>
      </c>
      <c r="I14" s="10">
        <v>44638</v>
      </c>
      <c r="J14" s="10">
        <v>44638.617407407408</v>
      </c>
      <c r="K14" s="1">
        <v>2</v>
      </c>
      <c r="L14" s="1" t="s">
        <v>81</v>
      </c>
      <c r="M14" s="5">
        <v>44428</v>
      </c>
      <c r="N14" s="16">
        <v>38.590000000000003</v>
      </c>
      <c r="O14" s="16">
        <v>35.53</v>
      </c>
    </row>
    <row r="15" spans="1:15" x14ac:dyDescent="0.2">
      <c r="A15" s="1">
        <v>14</v>
      </c>
      <c r="B15" s="2" t="s">
        <v>40</v>
      </c>
      <c r="C15" s="1" t="s">
        <v>58</v>
      </c>
      <c r="D15" s="1">
        <v>25</v>
      </c>
      <c r="E15" s="3" t="s">
        <v>20</v>
      </c>
      <c r="F15" s="5">
        <v>44635</v>
      </c>
      <c r="G15" s="5">
        <v>44635</v>
      </c>
      <c r="H15" s="5">
        <v>44638</v>
      </c>
      <c r="I15" s="10">
        <v>44638</v>
      </c>
      <c r="J15" s="10">
        <v>44638.740370370368</v>
      </c>
      <c r="K15" s="1">
        <v>2</v>
      </c>
      <c r="L15" s="1" t="s">
        <v>82</v>
      </c>
      <c r="M15" s="5">
        <v>44369</v>
      </c>
      <c r="N15" s="16">
        <v>34.5</v>
      </c>
      <c r="O15" s="16">
        <v>31.56</v>
      </c>
    </row>
    <row r="16" spans="1:15" x14ac:dyDescent="0.2">
      <c r="A16" s="1">
        <v>15</v>
      </c>
      <c r="B16" s="2" t="s">
        <v>41</v>
      </c>
      <c r="C16" s="1" t="s">
        <v>59</v>
      </c>
      <c r="D16" s="1">
        <v>26</v>
      </c>
      <c r="E16" s="3" t="s">
        <v>23</v>
      </c>
      <c r="F16" s="5">
        <v>44635</v>
      </c>
      <c r="G16" s="5">
        <v>44635</v>
      </c>
      <c r="H16" s="5">
        <v>44638</v>
      </c>
      <c r="I16" s="10">
        <v>44639</v>
      </c>
      <c r="J16" s="10">
        <v>44639.417210648149</v>
      </c>
      <c r="K16" s="1">
        <v>2</v>
      </c>
      <c r="L16" s="1" t="s">
        <v>80</v>
      </c>
      <c r="M16" s="5">
        <v>44367</v>
      </c>
      <c r="N16" s="16">
        <v>35.67</v>
      </c>
      <c r="O16" s="16">
        <v>33.659999999999997</v>
      </c>
    </row>
    <row r="17" spans="1:15" x14ac:dyDescent="0.2">
      <c r="A17" s="1">
        <v>16</v>
      </c>
      <c r="B17" s="2" t="s">
        <v>40</v>
      </c>
      <c r="C17" s="1" t="s">
        <v>60</v>
      </c>
      <c r="D17" s="1">
        <v>32</v>
      </c>
      <c r="E17" s="3" t="s">
        <v>23</v>
      </c>
      <c r="F17" s="5">
        <v>44635</v>
      </c>
      <c r="G17" s="5">
        <v>44635</v>
      </c>
      <c r="H17" s="5">
        <v>44638</v>
      </c>
      <c r="I17" s="10">
        <v>44638</v>
      </c>
      <c r="J17" s="10">
        <v>44639.418321759258</v>
      </c>
      <c r="K17" s="1">
        <v>2</v>
      </c>
      <c r="L17" s="1" t="s">
        <v>82</v>
      </c>
      <c r="M17" s="5">
        <v>44369</v>
      </c>
      <c r="N17" s="16">
        <v>25.28</v>
      </c>
      <c r="O17" s="16">
        <v>20.66</v>
      </c>
    </row>
    <row r="18" spans="1:15" x14ac:dyDescent="0.2">
      <c r="A18" s="1">
        <v>17</v>
      </c>
      <c r="B18" s="2" t="s">
        <v>41</v>
      </c>
      <c r="C18" s="1" t="s">
        <v>61</v>
      </c>
      <c r="D18" s="1">
        <v>30</v>
      </c>
      <c r="E18" s="3" t="s">
        <v>23</v>
      </c>
      <c r="F18" s="5">
        <v>44634</v>
      </c>
      <c r="G18" s="5">
        <v>44635</v>
      </c>
      <c r="H18" s="5">
        <v>44638</v>
      </c>
      <c r="I18" s="10">
        <v>44638</v>
      </c>
      <c r="J18" s="10">
        <v>44639.419502314813</v>
      </c>
      <c r="K18" s="1">
        <v>2</v>
      </c>
      <c r="L18" s="1" t="s">
        <v>82</v>
      </c>
      <c r="M18" s="5">
        <v>44369</v>
      </c>
      <c r="N18" s="16">
        <v>22.04</v>
      </c>
      <c r="O18" s="16">
        <v>16.7</v>
      </c>
    </row>
    <row r="19" spans="1:15" x14ac:dyDescent="0.2">
      <c r="A19" s="1">
        <v>18</v>
      </c>
      <c r="B19" s="2" t="s">
        <v>40</v>
      </c>
      <c r="C19" s="1" t="s">
        <v>62</v>
      </c>
      <c r="D19" s="1">
        <v>53</v>
      </c>
      <c r="E19" s="3" t="s">
        <v>20</v>
      </c>
      <c r="F19" s="5">
        <v>44635</v>
      </c>
      <c r="G19" s="5">
        <v>44635</v>
      </c>
      <c r="H19" s="5">
        <v>44638</v>
      </c>
      <c r="I19" s="10">
        <v>44639</v>
      </c>
      <c r="J19" s="10">
        <v>44639.806770833333</v>
      </c>
      <c r="K19" s="1">
        <v>3</v>
      </c>
      <c r="L19" s="1" t="s">
        <v>81</v>
      </c>
      <c r="M19" s="5">
        <v>44601</v>
      </c>
      <c r="N19" s="16">
        <v>19.37</v>
      </c>
      <c r="O19" s="16">
        <v>16.14</v>
      </c>
    </row>
    <row r="20" spans="1:15" x14ac:dyDescent="0.2">
      <c r="A20" s="1">
        <v>19</v>
      </c>
      <c r="B20" s="2" t="s">
        <v>40</v>
      </c>
      <c r="C20" s="1" t="s">
        <v>63</v>
      </c>
      <c r="D20" s="1">
        <v>20</v>
      </c>
      <c r="E20" s="3" t="s">
        <v>20</v>
      </c>
      <c r="F20" s="5">
        <v>44634</v>
      </c>
      <c r="G20" s="5">
        <v>44634</v>
      </c>
      <c r="H20" s="5">
        <v>44639</v>
      </c>
      <c r="I20" s="10">
        <v>44639</v>
      </c>
      <c r="J20" s="10">
        <v>44640.345046296294</v>
      </c>
      <c r="K20" s="1">
        <v>2</v>
      </c>
      <c r="L20" s="1" t="s">
        <v>81</v>
      </c>
      <c r="M20" s="5">
        <v>44323</v>
      </c>
      <c r="N20" s="16">
        <v>22.06</v>
      </c>
      <c r="O20" s="16">
        <v>18.46</v>
      </c>
    </row>
    <row r="21" spans="1:15" x14ac:dyDescent="0.2">
      <c r="A21" s="1">
        <v>20</v>
      </c>
      <c r="B21" s="2" t="s">
        <v>41</v>
      </c>
      <c r="C21" s="1" t="s">
        <v>64</v>
      </c>
      <c r="D21" s="1">
        <v>27</v>
      </c>
      <c r="E21" s="3" t="s">
        <v>20</v>
      </c>
      <c r="F21" s="5">
        <v>44637</v>
      </c>
      <c r="G21" s="5">
        <v>44638</v>
      </c>
      <c r="H21" s="5">
        <v>44638</v>
      </c>
      <c r="I21" s="10">
        <v>44640</v>
      </c>
      <c r="J21" s="10">
        <v>44640.641643518517</v>
      </c>
      <c r="K21" s="1">
        <v>2</v>
      </c>
      <c r="L21" s="1" t="s">
        <v>81</v>
      </c>
      <c r="M21" s="5">
        <v>44390</v>
      </c>
      <c r="N21" s="16">
        <v>30.06</v>
      </c>
      <c r="O21" s="16">
        <v>29.49</v>
      </c>
    </row>
    <row r="22" spans="1:15" x14ac:dyDescent="0.2">
      <c r="A22" s="1">
        <v>21</v>
      </c>
      <c r="B22" s="2" t="s">
        <v>41</v>
      </c>
      <c r="C22" s="1" t="s">
        <v>65</v>
      </c>
      <c r="D22" s="1">
        <v>52</v>
      </c>
      <c r="E22" s="3" t="s">
        <v>23</v>
      </c>
      <c r="F22" s="5">
        <v>44635</v>
      </c>
      <c r="G22" s="5">
        <v>44639</v>
      </c>
      <c r="H22" s="5">
        <v>44640</v>
      </c>
      <c r="I22" s="10">
        <v>44641</v>
      </c>
      <c r="J22" s="10">
        <v>44641.357430555552</v>
      </c>
      <c r="K22" s="1">
        <v>3</v>
      </c>
      <c r="L22" s="1" t="s">
        <v>81</v>
      </c>
      <c r="M22" s="5">
        <v>44601</v>
      </c>
      <c r="N22" s="16">
        <v>28.51</v>
      </c>
      <c r="O22" s="16">
        <v>23.72</v>
      </c>
    </row>
    <row r="23" spans="1:15" x14ac:dyDescent="0.2">
      <c r="A23" s="1">
        <v>22</v>
      </c>
      <c r="B23" s="2" t="s">
        <v>41</v>
      </c>
      <c r="C23" s="1" t="s">
        <v>66</v>
      </c>
      <c r="D23" s="1">
        <v>50</v>
      </c>
      <c r="E23" s="3" t="s">
        <v>23</v>
      </c>
      <c r="F23" s="5">
        <v>44636</v>
      </c>
      <c r="G23" s="5">
        <v>44638</v>
      </c>
      <c r="H23" s="5">
        <v>44640</v>
      </c>
      <c r="I23" s="10">
        <v>44641</v>
      </c>
      <c r="J23" s="10">
        <v>44641.358784722222</v>
      </c>
      <c r="K23" s="1">
        <v>2</v>
      </c>
      <c r="L23" s="1" t="s">
        <v>81</v>
      </c>
      <c r="M23" s="5">
        <v>44373</v>
      </c>
      <c r="N23" s="16">
        <v>27.28</v>
      </c>
      <c r="O23" s="16">
        <v>23.59</v>
      </c>
    </row>
    <row r="24" spans="1:15" x14ac:dyDescent="0.2">
      <c r="A24" s="1">
        <v>23</v>
      </c>
      <c r="B24" s="2" t="s">
        <v>40</v>
      </c>
      <c r="C24" s="1" t="s">
        <v>67</v>
      </c>
      <c r="D24" s="1">
        <v>38</v>
      </c>
      <c r="E24" s="3" t="s">
        <v>23</v>
      </c>
      <c r="F24" s="5">
        <v>44646</v>
      </c>
      <c r="G24" s="5">
        <v>44648</v>
      </c>
      <c r="H24" s="5">
        <v>44649</v>
      </c>
      <c r="I24" s="10">
        <v>44650</v>
      </c>
      <c r="J24" s="10">
        <v>44650.359386574077</v>
      </c>
      <c r="K24" s="1">
        <v>3</v>
      </c>
      <c r="L24" s="1" t="s">
        <v>80</v>
      </c>
      <c r="M24" s="5">
        <v>44567</v>
      </c>
      <c r="N24" s="16">
        <v>31.52</v>
      </c>
      <c r="O24" s="16">
        <v>28.59</v>
      </c>
    </row>
    <row r="25" spans="1:15" x14ac:dyDescent="0.2">
      <c r="A25" s="1">
        <v>24</v>
      </c>
      <c r="B25" s="2" t="s">
        <v>41</v>
      </c>
      <c r="C25" s="1" t="s">
        <v>68</v>
      </c>
      <c r="D25" s="1">
        <v>38</v>
      </c>
      <c r="E25" s="3" t="s">
        <v>23</v>
      </c>
      <c r="F25" s="5">
        <v>44646</v>
      </c>
      <c r="G25" s="5">
        <v>44648</v>
      </c>
      <c r="H25" s="5">
        <v>44649</v>
      </c>
      <c r="I25" s="10">
        <v>44650</v>
      </c>
      <c r="J25" s="10">
        <v>44650.361064814817</v>
      </c>
      <c r="K25" s="1">
        <v>3</v>
      </c>
      <c r="L25" s="1" t="s">
        <v>81</v>
      </c>
      <c r="M25" s="5">
        <v>44529</v>
      </c>
      <c r="N25" s="16">
        <v>30.13</v>
      </c>
      <c r="O25" s="16">
        <v>30.05</v>
      </c>
    </row>
    <row r="26" spans="1:15" x14ac:dyDescent="0.2">
      <c r="A26" s="1">
        <v>25</v>
      </c>
      <c r="B26" s="2" t="s">
        <v>41</v>
      </c>
      <c r="C26" s="1" t="s">
        <v>69</v>
      </c>
      <c r="D26" s="1">
        <v>22</v>
      </c>
      <c r="E26" s="1" t="s">
        <v>10</v>
      </c>
      <c r="F26" s="5">
        <v>44646</v>
      </c>
      <c r="G26" s="5">
        <v>44648</v>
      </c>
      <c r="H26" s="5">
        <v>44649</v>
      </c>
      <c r="I26" s="10">
        <v>44650</v>
      </c>
      <c r="J26" s="10">
        <v>44650.695011574076</v>
      </c>
      <c r="K26" s="1">
        <v>2</v>
      </c>
      <c r="L26" s="1" t="s">
        <v>34</v>
      </c>
      <c r="M26" s="5">
        <v>44408</v>
      </c>
      <c r="N26" s="16">
        <v>22.11</v>
      </c>
      <c r="O26" s="16">
        <v>21.17</v>
      </c>
    </row>
    <row r="27" spans="1:15" x14ac:dyDescent="0.2">
      <c r="A27" s="1">
        <v>26</v>
      </c>
      <c r="B27" s="2" t="s">
        <v>40</v>
      </c>
      <c r="C27" s="1" t="s">
        <v>70</v>
      </c>
      <c r="D27" s="1">
        <v>31</v>
      </c>
      <c r="E27" s="1" t="s">
        <v>10</v>
      </c>
      <c r="F27" s="5">
        <v>44649</v>
      </c>
      <c r="G27" s="5">
        <v>44649</v>
      </c>
      <c r="H27" s="5">
        <v>44649</v>
      </c>
      <c r="I27" s="10">
        <v>44649</v>
      </c>
      <c r="J27" s="10">
        <v>44650.697939814818</v>
      </c>
      <c r="K27" s="1">
        <v>2</v>
      </c>
      <c r="L27" s="1" t="s">
        <v>80</v>
      </c>
      <c r="M27" s="5">
        <v>44442</v>
      </c>
      <c r="N27" s="16">
        <v>29.16</v>
      </c>
      <c r="O27" s="16">
        <v>28.6</v>
      </c>
    </row>
    <row r="28" spans="1:15" x14ac:dyDescent="0.2">
      <c r="A28" s="1">
        <v>27</v>
      </c>
      <c r="B28" s="2" t="s">
        <v>41</v>
      </c>
      <c r="C28" s="1" t="s">
        <v>71</v>
      </c>
      <c r="D28" s="1">
        <v>22</v>
      </c>
      <c r="E28" s="3" t="s">
        <v>23</v>
      </c>
      <c r="F28" s="5">
        <v>44646</v>
      </c>
      <c r="G28" s="5">
        <v>44648</v>
      </c>
      <c r="H28" s="5">
        <v>44650</v>
      </c>
      <c r="I28" s="10">
        <v>44650</v>
      </c>
      <c r="J28" s="10">
        <v>44650.892291666663</v>
      </c>
      <c r="K28" s="1">
        <v>2</v>
      </c>
      <c r="L28" s="1" t="s">
        <v>81</v>
      </c>
      <c r="M28" s="5">
        <v>44492</v>
      </c>
      <c r="N28" s="16">
        <v>25.75</v>
      </c>
      <c r="O28" s="16">
        <v>21.96</v>
      </c>
    </row>
    <row r="29" spans="1:15" x14ac:dyDescent="0.2">
      <c r="A29" s="1">
        <v>28</v>
      </c>
      <c r="B29" s="2" t="s">
        <v>40</v>
      </c>
      <c r="C29" s="1" t="s">
        <v>72</v>
      </c>
      <c r="D29" s="1">
        <v>37</v>
      </c>
      <c r="E29" s="3" t="s">
        <v>23</v>
      </c>
      <c r="F29" s="5">
        <v>44648</v>
      </c>
      <c r="G29" s="5">
        <v>44648</v>
      </c>
      <c r="H29" s="5">
        <v>44650</v>
      </c>
      <c r="I29" s="10">
        <v>44651</v>
      </c>
      <c r="J29" s="10">
        <v>44652.339062500003</v>
      </c>
      <c r="K29" s="1">
        <v>3</v>
      </c>
      <c r="L29" s="1" t="s">
        <v>34</v>
      </c>
      <c r="M29" s="5">
        <v>44613</v>
      </c>
      <c r="N29" s="16">
        <v>30.13</v>
      </c>
      <c r="O29" s="16">
        <v>29.49</v>
      </c>
    </row>
    <row r="30" spans="1:15" x14ac:dyDescent="0.2">
      <c r="A30" s="1">
        <v>29</v>
      </c>
      <c r="B30" s="2" t="s">
        <v>41</v>
      </c>
      <c r="C30" s="1" t="s">
        <v>73</v>
      </c>
      <c r="D30" s="1">
        <v>27</v>
      </c>
      <c r="E30" s="3" t="s">
        <v>23</v>
      </c>
      <c r="F30" s="5">
        <v>44648</v>
      </c>
      <c r="G30" s="5">
        <v>44652</v>
      </c>
      <c r="H30" s="5">
        <v>44652</v>
      </c>
      <c r="I30" s="10">
        <v>44653</v>
      </c>
      <c r="J30" s="10">
        <v>44653.619618055556</v>
      </c>
      <c r="K30" s="1">
        <v>0</v>
      </c>
      <c r="L30" s="1"/>
      <c r="M30" s="5"/>
      <c r="N30" s="16">
        <v>22.3</v>
      </c>
      <c r="O30" s="16">
        <v>26.22</v>
      </c>
    </row>
    <row r="31" spans="1:15" x14ac:dyDescent="0.2">
      <c r="A31" s="1">
        <v>30</v>
      </c>
      <c r="B31" s="2" t="s">
        <v>40</v>
      </c>
      <c r="C31" s="1" t="s">
        <v>74</v>
      </c>
      <c r="D31" s="1">
        <v>30</v>
      </c>
      <c r="E31" s="3" t="s">
        <v>20</v>
      </c>
      <c r="F31" s="5">
        <v>44646</v>
      </c>
      <c r="G31" s="5">
        <v>44646</v>
      </c>
      <c r="H31" s="5">
        <v>44651</v>
      </c>
      <c r="I31" s="10">
        <v>44653</v>
      </c>
      <c r="J31" s="10">
        <v>44654.344108796293</v>
      </c>
      <c r="K31" s="1">
        <v>2</v>
      </c>
      <c r="L31" s="1" t="s">
        <v>80</v>
      </c>
      <c r="M31" s="5">
        <v>44419</v>
      </c>
      <c r="N31" s="16">
        <v>28</v>
      </c>
      <c r="O31" s="16">
        <v>26.13</v>
      </c>
    </row>
    <row r="32" spans="1:15" x14ac:dyDescent="0.2">
      <c r="A32" s="1">
        <v>31</v>
      </c>
      <c r="B32" s="2" t="s">
        <v>41</v>
      </c>
      <c r="C32" s="1" t="s">
        <v>75</v>
      </c>
      <c r="D32" s="1">
        <v>51</v>
      </c>
      <c r="E32" s="3" t="s">
        <v>20</v>
      </c>
      <c r="F32" s="5">
        <v>44653.729166666664</v>
      </c>
      <c r="G32" s="5">
        <v>44653.729166666664</v>
      </c>
      <c r="H32" s="5">
        <v>44653</v>
      </c>
      <c r="I32" s="10">
        <v>44654</v>
      </c>
      <c r="J32" s="10">
        <v>44654.534305555557</v>
      </c>
      <c r="K32" s="1">
        <v>0</v>
      </c>
      <c r="L32" s="1"/>
      <c r="M32" s="5"/>
      <c r="N32" s="16">
        <v>22.3</v>
      </c>
      <c r="O32" s="16">
        <v>19.84</v>
      </c>
    </row>
    <row r="33" spans="1:15" x14ac:dyDescent="0.2">
      <c r="A33" s="1">
        <v>32</v>
      </c>
      <c r="B33" s="2" t="s">
        <v>40</v>
      </c>
      <c r="C33" s="1" t="s">
        <v>76</v>
      </c>
      <c r="D33" s="1">
        <v>0.57999999999999996</v>
      </c>
      <c r="E33" s="3" t="s">
        <v>23</v>
      </c>
      <c r="F33" s="5">
        <v>44653.729166666664</v>
      </c>
      <c r="G33" s="5">
        <v>44653.729166666664</v>
      </c>
      <c r="H33" s="5">
        <v>44653</v>
      </c>
      <c r="I33" s="10">
        <v>44654</v>
      </c>
      <c r="J33" s="10">
        <v>44654.893807870372</v>
      </c>
      <c r="K33" s="1">
        <v>0</v>
      </c>
      <c r="L33" s="1"/>
      <c r="M33" s="5"/>
      <c r="N33" s="16">
        <v>32.04</v>
      </c>
      <c r="O33" s="16">
        <v>31.87</v>
      </c>
    </row>
    <row r="34" spans="1:15" x14ac:dyDescent="0.2">
      <c r="A34" s="1">
        <v>33</v>
      </c>
      <c r="B34" s="2" t="s">
        <v>41</v>
      </c>
      <c r="C34" s="1" t="s">
        <v>77</v>
      </c>
      <c r="D34" s="1">
        <v>31</v>
      </c>
      <c r="E34" s="3" t="s">
        <v>23</v>
      </c>
      <c r="F34" s="5">
        <v>44652</v>
      </c>
      <c r="G34" s="5">
        <v>44652</v>
      </c>
      <c r="H34" s="5">
        <v>44654</v>
      </c>
      <c r="I34" s="10">
        <v>44655</v>
      </c>
      <c r="J34" s="10">
        <v>44655.966006944444</v>
      </c>
      <c r="K34" s="1">
        <v>0</v>
      </c>
      <c r="L34" s="1"/>
      <c r="M34" s="5"/>
      <c r="N34" s="16">
        <v>32.130000000000003</v>
      </c>
      <c r="O34" s="16">
        <v>29.31</v>
      </c>
    </row>
    <row r="35" spans="1:15" x14ac:dyDescent="0.2">
      <c r="A35" s="1">
        <v>34</v>
      </c>
      <c r="B35" s="2" t="s">
        <v>40</v>
      </c>
      <c r="C35" s="1" t="s">
        <v>78</v>
      </c>
      <c r="D35" s="1">
        <v>28</v>
      </c>
      <c r="E35" s="3" t="s">
        <v>23</v>
      </c>
      <c r="F35" s="5">
        <v>44653.729166666664</v>
      </c>
      <c r="G35" s="5">
        <v>44653.729166666664</v>
      </c>
      <c r="H35" s="5">
        <v>44656</v>
      </c>
      <c r="I35" s="10">
        <v>44656</v>
      </c>
      <c r="J35" s="10">
        <v>44656.882916666669</v>
      </c>
      <c r="K35" s="1">
        <v>2</v>
      </c>
      <c r="L35" s="1" t="s">
        <v>81</v>
      </c>
      <c r="M35" s="5">
        <v>44371</v>
      </c>
      <c r="N35" s="17">
        <v>31.32</v>
      </c>
      <c r="O35" s="17">
        <v>29.9</v>
      </c>
    </row>
    <row r="36" spans="1:15" x14ac:dyDescent="0.2">
      <c r="A36" s="1">
        <v>35</v>
      </c>
      <c r="B36" s="2" t="s">
        <v>41</v>
      </c>
      <c r="C36" s="1" t="s">
        <v>79</v>
      </c>
      <c r="D36" s="1">
        <v>24</v>
      </c>
      <c r="E36" s="3" t="s">
        <v>20</v>
      </c>
      <c r="F36" s="5">
        <v>44648</v>
      </c>
      <c r="G36" s="5">
        <v>44652</v>
      </c>
      <c r="H36" s="5">
        <v>44657</v>
      </c>
      <c r="I36" s="10">
        <v>44658</v>
      </c>
      <c r="J36" s="10">
        <v>44658.822708333333</v>
      </c>
      <c r="K36" s="1">
        <v>2</v>
      </c>
      <c r="L36" s="1" t="s">
        <v>81</v>
      </c>
      <c r="M36" s="5">
        <v>44371</v>
      </c>
      <c r="N36" s="16">
        <v>18.23</v>
      </c>
      <c r="O36" s="16">
        <v>16.59</v>
      </c>
    </row>
  </sheetData>
  <autoFilter ref="A1:N3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11EA-9670-4515-8C22-A8823DDF58F7}">
  <sheetPr codeName="Sheet2"/>
  <dimension ref="A1:O36"/>
  <sheetViews>
    <sheetView workbookViewId="0">
      <selection activeCell="C1" sqref="C1:C1048576"/>
    </sheetView>
  </sheetViews>
  <sheetFormatPr defaultRowHeight="14.25" x14ac:dyDescent="0.2"/>
  <cols>
    <col min="4" max="4" width="13" customWidth="1"/>
    <col min="5" max="9" width="15.5" customWidth="1"/>
    <col min="10" max="10" width="17.5" customWidth="1"/>
    <col min="11" max="11" width="11.125" bestFit="1" customWidth="1"/>
    <col min="12" max="13" width="13.75" customWidth="1"/>
  </cols>
  <sheetData>
    <row r="1" spans="1:15" ht="28.5" x14ac:dyDescent="0.2">
      <c r="A1" s="6" t="s">
        <v>0</v>
      </c>
      <c r="B1" s="6" t="s">
        <v>11</v>
      </c>
      <c r="C1" s="6" t="s">
        <v>44</v>
      </c>
      <c r="D1" s="6" t="s">
        <v>2</v>
      </c>
      <c r="E1" s="7" t="s">
        <v>3</v>
      </c>
      <c r="F1" s="6" t="s">
        <v>4</v>
      </c>
      <c r="G1" s="6" t="s">
        <v>5</v>
      </c>
      <c r="H1" s="8" t="s">
        <v>6</v>
      </c>
      <c r="I1" s="9" t="s">
        <v>7</v>
      </c>
      <c r="J1" s="9" t="s">
        <v>43</v>
      </c>
      <c r="K1" s="6" t="s">
        <v>9</v>
      </c>
      <c r="L1" s="6" t="s">
        <v>32</v>
      </c>
      <c r="M1" s="6" t="s">
        <v>42</v>
      </c>
      <c r="N1" s="12" t="s">
        <v>18</v>
      </c>
      <c r="O1" s="12" t="s">
        <v>19</v>
      </c>
    </row>
    <row r="2" spans="1:15" x14ac:dyDescent="0.2">
      <c r="A2" s="1">
        <v>1</v>
      </c>
      <c r="B2" s="2" t="s">
        <v>40</v>
      </c>
      <c r="C2" s="1" t="s">
        <v>45</v>
      </c>
      <c r="D2" s="1">
        <v>31</v>
      </c>
      <c r="E2" s="3" t="s">
        <v>20</v>
      </c>
      <c r="F2" s="5">
        <v>44629</v>
      </c>
      <c r="G2" s="5">
        <v>44630</v>
      </c>
      <c r="H2" s="5">
        <v>44631</v>
      </c>
      <c r="I2" s="10">
        <v>44631.786805555559</v>
      </c>
      <c r="J2" s="10">
        <v>44631.951388888891</v>
      </c>
      <c r="K2" s="4">
        <v>3</v>
      </c>
      <c r="L2" s="4" t="s">
        <v>33</v>
      </c>
      <c r="M2" s="5">
        <v>44598</v>
      </c>
      <c r="N2" s="14">
        <v>24.6</v>
      </c>
      <c r="O2" s="14">
        <v>23.22</v>
      </c>
    </row>
    <row r="3" spans="1:15" x14ac:dyDescent="0.2">
      <c r="A3" s="1">
        <v>2</v>
      </c>
      <c r="B3" s="2" t="s">
        <v>40</v>
      </c>
      <c r="C3" s="1" t="s">
        <v>46</v>
      </c>
      <c r="D3" s="1">
        <v>35</v>
      </c>
      <c r="E3" s="3" t="s">
        <v>23</v>
      </c>
      <c r="F3" s="5">
        <v>44627</v>
      </c>
      <c r="G3" s="5">
        <v>44632</v>
      </c>
      <c r="H3" s="5">
        <v>44633</v>
      </c>
      <c r="I3" s="10">
        <v>44633.929166666669</v>
      </c>
      <c r="J3" s="10">
        <v>44634.31659722222</v>
      </c>
      <c r="K3" s="1">
        <v>3</v>
      </c>
      <c r="L3" s="1" t="s">
        <v>34</v>
      </c>
      <c r="M3" s="5">
        <v>44601</v>
      </c>
      <c r="N3" s="16">
        <v>24.01</v>
      </c>
      <c r="O3" s="16">
        <v>21.76</v>
      </c>
    </row>
    <row r="4" spans="1:15" x14ac:dyDescent="0.2">
      <c r="A4" s="1">
        <v>3</v>
      </c>
      <c r="B4" s="2" t="s">
        <v>40</v>
      </c>
      <c r="C4" s="1" t="s">
        <v>47</v>
      </c>
      <c r="D4" s="1">
        <v>40</v>
      </c>
      <c r="E4" s="3" t="s">
        <v>23</v>
      </c>
      <c r="F4" s="5">
        <v>44630</v>
      </c>
      <c r="G4" s="5">
        <v>44633</v>
      </c>
      <c r="H4" s="5">
        <v>44633</v>
      </c>
      <c r="I4" s="10">
        <v>44633.625</v>
      </c>
      <c r="J4" s="10">
        <v>44634.468738425923</v>
      </c>
      <c r="K4" s="1">
        <v>3</v>
      </c>
      <c r="L4" s="1" t="s">
        <v>35</v>
      </c>
      <c r="M4" s="5">
        <v>44557</v>
      </c>
      <c r="N4" s="16">
        <v>19.75</v>
      </c>
      <c r="O4" s="16">
        <v>18.760000000000002</v>
      </c>
    </row>
    <row r="5" spans="1:15" x14ac:dyDescent="0.2">
      <c r="A5" s="1">
        <v>4</v>
      </c>
      <c r="B5" s="2" t="s">
        <v>40</v>
      </c>
      <c r="C5" s="1" t="s">
        <v>48</v>
      </c>
      <c r="D5" s="1">
        <v>33</v>
      </c>
      <c r="E5" s="3" t="s">
        <v>20</v>
      </c>
      <c r="F5" s="5">
        <v>44632</v>
      </c>
      <c r="G5" s="5">
        <v>44632</v>
      </c>
      <c r="H5" s="5">
        <v>44634</v>
      </c>
      <c r="I5" s="10">
        <v>44634.958333333336</v>
      </c>
      <c r="J5" s="10">
        <v>44635.300555555557</v>
      </c>
      <c r="K5" s="1">
        <v>2</v>
      </c>
      <c r="L5" s="4" t="s">
        <v>33</v>
      </c>
      <c r="M5" s="5">
        <v>44469</v>
      </c>
      <c r="N5" s="16">
        <v>27.83</v>
      </c>
      <c r="O5" s="16">
        <v>24.46</v>
      </c>
    </row>
    <row r="6" spans="1:15" x14ac:dyDescent="0.2">
      <c r="A6" s="1">
        <v>5</v>
      </c>
      <c r="B6" s="2" t="s">
        <v>41</v>
      </c>
      <c r="C6" s="1" t="s">
        <v>49</v>
      </c>
      <c r="D6" s="1">
        <v>26</v>
      </c>
      <c r="E6" s="3" t="s">
        <v>23</v>
      </c>
      <c r="F6" s="5">
        <v>44632</v>
      </c>
      <c r="G6" s="5">
        <v>44632</v>
      </c>
      <c r="H6" s="5">
        <v>44635</v>
      </c>
      <c r="I6" s="10">
        <v>44635.806944444441</v>
      </c>
      <c r="J6" s="10">
        <v>44635.934907407405</v>
      </c>
      <c r="K6" s="1">
        <v>3</v>
      </c>
      <c r="L6" s="1" t="s">
        <v>36</v>
      </c>
      <c r="M6" s="5">
        <v>44559</v>
      </c>
      <c r="N6" s="16">
        <v>36.4</v>
      </c>
      <c r="O6" s="16">
        <v>33.04</v>
      </c>
    </row>
    <row r="7" spans="1:15" x14ac:dyDescent="0.2">
      <c r="A7" s="1">
        <v>6</v>
      </c>
      <c r="B7" s="2" t="s">
        <v>41</v>
      </c>
      <c r="C7" s="1" t="s">
        <v>50</v>
      </c>
      <c r="D7" s="1">
        <v>32</v>
      </c>
      <c r="E7" s="3" t="s">
        <v>23</v>
      </c>
      <c r="F7" s="5">
        <v>44632</v>
      </c>
      <c r="G7" s="5">
        <v>44632</v>
      </c>
      <c r="H7" s="5">
        <v>44635</v>
      </c>
      <c r="I7" s="10">
        <v>44635.933333333334</v>
      </c>
      <c r="J7" s="10">
        <v>44636.29173611111</v>
      </c>
      <c r="K7" s="1">
        <v>2</v>
      </c>
      <c r="L7" s="1" t="s">
        <v>36</v>
      </c>
      <c r="M7" s="5">
        <v>44408</v>
      </c>
      <c r="N7" s="16">
        <v>37.880000000000003</v>
      </c>
      <c r="O7" s="16">
        <v>36.36</v>
      </c>
    </row>
    <row r="8" spans="1:15" x14ac:dyDescent="0.2">
      <c r="A8" s="1">
        <v>7</v>
      </c>
      <c r="B8" s="2" t="s">
        <v>41</v>
      </c>
      <c r="C8" s="1" t="s">
        <v>51</v>
      </c>
      <c r="D8" s="1">
        <v>22</v>
      </c>
      <c r="E8" s="3" t="s">
        <v>23</v>
      </c>
      <c r="F8" s="5">
        <v>44633</v>
      </c>
      <c r="G8" s="5">
        <v>44633</v>
      </c>
      <c r="H8" s="5">
        <v>44635</v>
      </c>
      <c r="I8" s="10">
        <v>44635.772222222222</v>
      </c>
      <c r="J8" s="10">
        <v>44636.294895833336</v>
      </c>
      <c r="K8" s="1">
        <v>3</v>
      </c>
      <c r="L8" s="1" t="s">
        <v>35</v>
      </c>
      <c r="M8" s="5">
        <v>44531</v>
      </c>
      <c r="N8" s="16">
        <v>38.270000000000003</v>
      </c>
      <c r="O8" s="16">
        <v>35.07</v>
      </c>
    </row>
    <row r="9" spans="1:15" x14ac:dyDescent="0.2">
      <c r="A9" s="1">
        <v>8</v>
      </c>
      <c r="B9" s="2" t="s">
        <v>41</v>
      </c>
      <c r="C9" s="1" t="s">
        <v>52</v>
      </c>
      <c r="D9" s="1">
        <v>29</v>
      </c>
      <c r="E9" s="3" t="s">
        <v>20</v>
      </c>
      <c r="F9" s="5">
        <v>44632</v>
      </c>
      <c r="G9" s="5">
        <v>44632</v>
      </c>
      <c r="H9" s="5">
        <v>44635</v>
      </c>
      <c r="I9" s="10">
        <v>44636.12222222222</v>
      </c>
      <c r="J9" s="10">
        <v>44636.309178240743</v>
      </c>
      <c r="K9" s="1">
        <v>2</v>
      </c>
      <c r="L9" s="1" t="s">
        <v>34</v>
      </c>
      <c r="M9" s="5">
        <v>44368</v>
      </c>
      <c r="N9" s="16">
        <v>30.6</v>
      </c>
      <c r="O9" s="16">
        <v>36.86</v>
      </c>
    </row>
    <row r="10" spans="1:15" x14ac:dyDescent="0.2">
      <c r="A10" s="1">
        <v>9</v>
      </c>
      <c r="B10" s="2" t="s">
        <v>41</v>
      </c>
      <c r="C10" s="1" t="s">
        <v>53</v>
      </c>
      <c r="D10" s="1">
        <v>64</v>
      </c>
      <c r="E10" s="3" t="s">
        <v>20</v>
      </c>
      <c r="F10" s="5">
        <v>44633</v>
      </c>
      <c r="G10" s="5">
        <v>44634</v>
      </c>
      <c r="H10" s="5">
        <v>44635</v>
      </c>
      <c r="I10" s="10">
        <v>44635.844444444447</v>
      </c>
      <c r="J10" s="10">
        <v>44636.510717592595</v>
      </c>
      <c r="K10" s="1">
        <v>3</v>
      </c>
      <c r="L10" s="4" t="s">
        <v>33</v>
      </c>
      <c r="M10" s="5">
        <v>44587</v>
      </c>
      <c r="N10" s="16">
        <v>27.41</v>
      </c>
      <c r="O10" s="16">
        <v>25.23</v>
      </c>
    </row>
    <row r="11" spans="1:15" x14ac:dyDescent="0.2">
      <c r="A11" s="1">
        <v>10</v>
      </c>
      <c r="B11" s="2" t="s">
        <v>41</v>
      </c>
      <c r="C11" s="1" t="s">
        <v>54</v>
      </c>
      <c r="D11" s="1">
        <v>34</v>
      </c>
      <c r="E11" s="3" t="s">
        <v>20</v>
      </c>
      <c r="F11" s="5">
        <v>44631</v>
      </c>
      <c r="G11" s="5">
        <v>44633</v>
      </c>
      <c r="H11" s="5">
        <v>44635</v>
      </c>
      <c r="I11" s="10">
        <v>44636.73333333333</v>
      </c>
      <c r="J11" s="10">
        <v>44636.883715277778</v>
      </c>
      <c r="K11" s="1">
        <v>3</v>
      </c>
      <c r="L11" s="1" t="s">
        <v>36</v>
      </c>
      <c r="M11" s="5">
        <v>44551</v>
      </c>
      <c r="N11" s="16">
        <v>32.78</v>
      </c>
      <c r="O11" s="16">
        <v>29.77</v>
      </c>
    </row>
    <row r="12" spans="1:15" x14ac:dyDescent="0.2">
      <c r="A12" s="1">
        <v>11</v>
      </c>
      <c r="B12" s="2" t="s">
        <v>40</v>
      </c>
      <c r="C12" s="1" t="s">
        <v>55</v>
      </c>
      <c r="D12" s="1">
        <v>66</v>
      </c>
      <c r="E12" s="3" t="s">
        <v>20</v>
      </c>
      <c r="F12" s="5">
        <v>44633</v>
      </c>
      <c r="G12" s="5">
        <v>44633</v>
      </c>
      <c r="H12" s="5">
        <v>44636</v>
      </c>
      <c r="I12" s="10">
        <v>44636.268055555556</v>
      </c>
      <c r="J12" s="10">
        <v>44637.483298611114</v>
      </c>
      <c r="K12" s="1">
        <v>3</v>
      </c>
      <c r="L12" s="1" t="s">
        <v>36</v>
      </c>
      <c r="M12" s="5">
        <v>44616</v>
      </c>
      <c r="N12" s="16">
        <v>37.44</v>
      </c>
      <c r="O12" s="16">
        <v>33.21</v>
      </c>
    </row>
    <row r="13" spans="1:15" x14ac:dyDescent="0.2">
      <c r="A13" s="1">
        <v>12</v>
      </c>
      <c r="B13" s="2" t="s">
        <v>41</v>
      </c>
      <c r="C13" s="1" t="s">
        <v>56</v>
      </c>
      <c r="D13" s="1">
        <v>31</v>
      </c>
      <c r="E13" s="3" t="s">
        <v>23</v>
      </c>
      <c r="F13" s="5">
        <v>44630</v>
      </c>
      <c r="G13" s="5">
        <v>44636</v>
      </c>
      <c r="H13" s="5">
        <v>44637</v>
      </c>
      <c r="I13" s="10">
        <v>44637.962500000001</v>
      </c>
      <c r="J13" s="10">
        <v>44638.348622685182</v>
      </c>
      <c r="K13" s="1">
        <v>2</v>
      </c>
      <c r="L13" s="1" t="s">
        <v>36</v>
      </c>
      <c r="M13" s="5">
        <v>44374</v>
      </c>
      <c r="N13" s="16">
        <v>25.5</v>
      </c>
      <c r="O13" s="16">
        <v>22.5</v>
      </c>
    </row>
    <row r="14" spans="1:15" x14ac:dyDescent="0.2">
      <c r="A14" s="1">
        <v>13</v>
      </c>
      <c r="B14" s="2" t="s">
        <v>40</v>
      </c>
      <c r="C14" s="1" t="s">
        <v>57</v>
      </c>
      <c r="D14" s="1">
        <v>27</v>
      </c>
      <c r="E14" s="3" t="s">
        <v>20</v>
      </c>
      <c r="F14" s="5">
        <v>44637</v>
      </c>
      <c r="G14" s="5">
        <v>44637</v>
      </c>
      <c r="H14" s="5">
        <v>44638</v>
      </c>
      <c r="I14" s="10">
        <v>44638.314583333333</v>
      </c>
      <c r="J14" s="10">
        <v>44638.617407407408</v>
      </c>
      <c r="K14" s="1">
        <v>2</v>
      </c>
      <c r="L14" s="1" t="s">
        <v>36</v>
      </c>
      <c r="M14" s="5">
        <v>44428</v>
      </c>
      <c r="N14" s="16">
        <v>38.590000000000003</v>
      </c>
      <c r="O14" s="16">
        <v>35.53</v>
      </c>
    </row>
    <row r="15" spans="1:15" x14ac:dyDescent="0.2">
      <c r="A15" s="1">
        <v>14</v>
      </c>
      <c r="B15" s="2" t="s">
        <v>40</v>
      </c>
      <c r="C15" s="1" t="s">
        <v>58</v>
      </c>
      <c r="D15" s="1">
        <v>25</v>
      </c>
      <c r="E15" s="3" t="s">
        <v>20</v>
      </c>
      <c r="F15" s="5">
        <v>44635</v>
      </c>
      <c r="G15" s="5">
        <v>44635</v>
      </c>
      <c r="H15" s="5">
        <v>44638</v>
      </c>
      <c r="I15" s="10">
        <v>44638.492361111108</v>
      </c>
      <c r="J15" s="10">
        <v>44638.740370370368</v>
      </c>
      <c r="K15" s="1">
        <v>2</v>
      </c>
      <c r="L15" s="1" t="s">
        <v>39</v>
      </c>
      <c r="M15" s="5">
        <v>44369</v>
      </c>
      <c r="N15" s="16">
        <v>36.01</v>
      </c>
      <c r="O15" s="16">
        <v>30.85</v>
      </c>
    </row>
    <row r="16" spans="1:15" x14ac:dyDescent="0.2">
      <c r="A16" s="1">
        <v>15</v>
      </c>
      <c r="B16" s="2" t="s">
        <v>41</v>
      </c>
      <c r="C16" s="1" t="s">
        <v>59</v>
      </c>
      <c r="D16" s="1">
        <v>26</v>
      </c>
      <c r="E16" s="3" t="s">
        <v>23</v>
      </c>
      <c r="F16" s="5">
        <v>44635</v>
      </c>
      <c r="G16" s="5">
        <v>44635</v>
      </c>
      <c r="H16" s="5">
        <v>44638</v>
      </c>
      <c r="I16" s="10">
        <v>44639.061805555553</v>
      </c>
      <c r="J16" s="10">
        <v>44639.417210648149</v>
      </c>
      <c r="K16" s="1">
        <v>2</v>
      </c>
      <c r="L16" s="1" t="s">
        <v>35</v>
      </c>
      <c r="M16" s="5">
        <v>44367</v>
      </c>
      <c r="N16" s="16">
        <v>26.59</v>
      </c>
      <c r="O16" s="16">
        <v>20.62</v>
      </c>
    </row>
    <row r="17" spans="1:15" x14ac:dyDescent="0.2">
      <c r="A17" s="1">
        <v>16</v>
      </c>
      <c r="B17" s="2" t="s">
        <v>40</v>
      </c>
      <c r="C17" s="1" t="s">
        <v>60</v>
      </c>
      <c r="D17" s="1">
        <v>32</v>
      </c>
      <c r="E17" s="3" t="s">
        <v>23</v>
      </c>
      <c r="F17" s="5">
        <v>44635</v>
      </c>
      <c r="G17" s="5">
        <v>44635</v>
      </c>
      <c r="H17" s="5">
        <v>44638</v>
      </c>
      <c r="I17" s="10">
        <v>44638.875</v>
      </c>
      <c r="J17" s="10">
        <v>44639.418321759258</v>
      </c>
      <c r="K17" s="1">
        <v>2</v>
      </c>
      <c r="L17" s="1" t="s">
        <v>39</v>
      </c>
      <c r="M17" s="5">
        <v>44369</v>
      </c>
      <c r="N17" s="16">
        <v>26.18</v>
      </c>
      <c r="O17" s="16">
        <v>22.1</v>
      </c>
    </row>
    <row r="18" spans="1:15" x14ac:dyDescent="0.2">
      <c r="A18" s="1">
        <v>17</v>
      </c>
      <c r="B18" s="2" t="s">
        <v>41</v>
      </c>
      <c r="C18" s="1" t="s">
        <v>61</v>
      </c>
      <c r="D18" s="1">
        <v>30</v>
      </c>
      <c r="E18" s="3" t="s">
        <v>23</v>
      </c>
      <c r="F18" s="5">
        <v>44634</v>
      </c>
      <c r="G18" s="5">
        <v>44635</v>
      </c>
      <c r="H18" s="5">
        <v>44638</v>
      </c>
      <c r="I18" s="10">
        <v>44638.525694444441</v>
      </c>
      <c r="J18" s="10">
        <v>44639.419502314813</v>
      </c>
      <c r="K18" s="1">
        <v>2</v>
      </c>
      <c r="L18" s="1" t="s">
        <v>39</v>
      </c>
      <c r="M18" s="5">
        <v>44369</v>
      </c>
      <c r="N18" s="16">
        <v>22.04</v>
      </c>
      <c r="O18" s="16">
        <v>16.7</v>
      </c>
    </row>
    <row r="19" spans="1:15" x14ac:dyDescent="0.2">
      <c r="A19" s="1">
        <v>18</v>
      </c>
      <c r="B19" s="2" t="s">
        <v>40</v>
      </c>
      <c r="C19" s="1" t="s">
        <v>62</v>
      </c>
      <c r="D19" s="1">
        <v>53</v>
      </c>
      <c r="E19" s="3" t="s">
        <v>20</v>
      </c>
      <c r="F19" s="5">
        <v>44635</v>
      </c>
      <c r="G19" s="5">
        <v>44635</v>
      </c>
      <c r="H19" s="5">
        <v>44638</v>
      </c>
      <c r="I19" s="10">
        <v>44639.54583333333</v>
      </c>
      <c r="J19" s="10">
        <v>44639.806770833333</v>
      </c>
      <c r="K19" s="1">
        <v>3</v>
      </c>
      <c r="L19" s="1" t="s">
        <v>36</v>
      </c>
      <c r="M19" s="5">
        <v>44601</v>
      </c>
      <c r="N19" s="16">
        <v>19.37</v>
      </c>
      <c r="O19" s="16">
        <v>16.14</v>
      </c>
    </row>
    <row r="20" spans="1:15" x14ac:dyDescent="0.2">
      <c r="A20" s="1">
        <v>19</v>
      </c>
      <c r="B20" s="2" t="s">
        <v>40</v>
      </c>
      <c r="C20" s="1" t="s">
        <v>63</v>
      </c>
      <c r="D20" s="1">
        <v>20</v>
      </c>
      <c r="E20" s="3" t="s">
        <v>20</v>
      </c>
      <c r="F20" s="5">
        <v>44634</v>
      </c>
      <c r="G20" s="5">
        <v>44634</v>
      </c>
      <c r="H20" s="5">
        <v>44639</v>
      </c>
      <c r="I20" s="10">
        <v>44639.90347222222</v>
      </c>
      <c r="J20" s="10">
        <v>44640.345046296294</v>
      </c>
      <c r="K20" s="1">
        <v>2</v>
      </c>
      <c r="L20" s="1" t="s">
        <v>36</v>
      </c>
      <c r="M20" s="5">
        <v>44323</v>
      </c>
      <c r="N20" s="16">
        <v>21.95</v>
      </c>
      <c r="O20" s="16">
        <v>17.79</v>
      </c>
    </row>
    <row r="21" spans="1:15" x14ac:dyDescent="0.2">
      <c r="A21" s="1">
        <v>20</v>
      </c>
      <c r="B21" s="2" t="s">
        <v>41</v>
      </c>
      <c r="C21" s="1" t="s">
        <v>64</v>
      </c>
      <c r="D21" s="1">
        <v>27</v>
      </c>
      <c r="E21" s="3" t="s">
        <v>20</v>
      </c>
      <c r="F21" s="5">
        <v>44637</v>
      </c>
      <c r="G21" s="5">
        <v>44638</v>
      </c>
      <c r="H21" s="5">
        <v>44638</v>
      </c>
      <c r="I21" s="10">
        <v>44640.314583333333</v>
      </c>
      <c r="J21" s="10">
        <v>44640.641643518517</v>
      </c>
      <c r="K21" s="1">
        <v>2</v>
      </c>
      <c r="L21" s="1" t="s">
        <v>36</v>
      </c>
      <c r="M21" s="5">
        <v>44390</v>
      </c>
      <c r="N21" s="16">
        <v>32.659999999999997</v>
      </c>
      <c r="O21" s="16">
        <v>29.09</v>
      </c>
    </row>
    <row r="22" spans="1:15" x14ac:dyDescent="0.2">
      <c r="A22" s="1">
        <v>21</v>
      </c>
      <c r="B22" s="2" t="s">
        <v>41</v>
      </c>
      <c r="C22" s="1" t="s">
        <v>65</v>
      </c>
      <c r="D22" s="1">
        <v>52</v>
      </c>
      <c r="E22" s="3" t="s">
        <v>23</v>
      </c>
      <c r="F22" s="5">
        <v>44635</v>
      </c>
      <c r="G22" s="5">
        <v>44639</v>
      </c>
      <c r="H22" s="5">
        <v>44640</v>
      </c>
      <c r="I22" s="10">
        <v>44641.01667824074</v>
      </c>
      <c r="J22" s="10">
        <v>44641.357430555552</v>
      </c>
      <c r="K22" s="1">
        <v>3</v>
      </c>
      <c r="L22" s="1" t="s">
        <v>36</v>
      </c>
      <c r="M22" s="5">
        <v>44601</v>
      </c>
      <c r="N22" s="16">
        <v>28.51</v>
      </c>
      <c r="O22" s="16">
        <v>23.72</v>
      </c>
    </row>
    <row r="23" spans="1:15" x14ac:dyDescent="0.2">
      <c r="A23" s="1">
        <v>22</v>
      </c>
      <c r="B23" s="2" t="s">
        <v>41</v>
      </c>
      <c r="C23" s="1" t="s">
        <v>66</v>
      </c>
      <c r="D23" s="1">
        <v>50</v>
      </c>
      <c r="E23" s="3" t="s">
        <v>23</v>
      </c>
      <c r="F23" s="5">
        <v>44636</v>
      </c>
      <c r="G23" s="5">
        <v>44638</v>
      </c>
      <c r="H23" s="5">
        <v>44640</v>
      </c>
      <c r="I23" s="10">
        <v>44641.015289351853</v>
      </c>
      <c r="J23" s="10">
        <v>44641.358784722222</v>
      </c>
      <c r="K23" s="1">
        <v>2</v>
      </c>
      <c r="L23" s="1" t="s">
        <v>36</v>
      </c>
      <c r="M23" s="5">
        <v>44373</v>
      </c>
      <c r="N23" s="16">
        <v>27.79</v>
      </c>
      <c r="O23" s="16">
        <v>23.16</v>
      </c>
    </row>
    <row r="24" spans="1:15" x14ac:dyDescent="0.2">
      <c r="A24" s="1">
        <v>23</v>
      </c>
      <c r="B24" s="2" t="s">
        <v>40</v>
      </c>
      <c r="C24" s="1" t="s">
        <v>67</v>
      </c>
      <c r="D24" s="1">
        <v>38</v>
      </c>
      <c r="E24" s="3" t="s">
        <v>23</v>
      </c>
      <c r="F24" s="5">
        <v>44646</v>
      </c>
      <c r="G24" s="5">
        <v>44648</v>
      </c>
      <c r="H24" s="5">
        <v>44649</v>
      </c>
      <c r="I24" s="10">
        <v>44650.113194444442</v>
      </c>
      <c r="J24" s="10">
        <v>44650.359386574077</v>
      </c>
      <c r="K24" s="1">
        <v>3</v>
      </c>
      <c r="L24" s="1" t="s">
        <v>35</v>
      </c>
      <c r="M24" s="5">
        <v>44567</v>
      </c>
      <c r="N24" s="16">
        <v>31.52</v>
      </c>
      <c r="O24" s="16">
        <v>28.59</v>
      </c>
    </row>
    <row r="25" spans="1:15" x14ac:dyDescent="0.2">
      <c r="A25" s="1">
        <v>24</v>
      </c>
      <c r="B25" s="2" t="s">
        <v>41</v>
      </c>
      <c r="C25" s="1" t="s">
        <v>68</v>
      </c>
      <c r="D25" s="1">
        <v>38</v>
      </c>
      <c r="E25" s="3" t="s">
        <v>23</v>
      </c>
      <c r="F25" s="5">
        <v>44646</v>
      </c>
      <c r="G25" s="5">
        <v>44648</v>
      </c>
      <c r="H25" s="5">
        <v>44649</v>
      </c>
      <c r="I25" s="10">
        <v>44650.109027777777</v>
      </c>
      <c r="J25" s="10">
        <v>44650.361064814817</v>
      </c>
      <c r="K25" s="1">
        <v>3</v>
      </c>
      <c r="L25" s="1" t="s">
        <v>36</v>
      </c>
      <c r="M25" s="5">
        <v>44529</v>
      </c>
      <c r="N25" s="16">
        <v>23.09</v>
      </c>
      <c r="O25" s="16">
        <v>20.45</v>
      </c>
    </row>
    <row r="26" spans="1:15" x14ac:dyDescent="0.2">
      <c r="A26" s="1">
        <v>25</v>
      </c>
      <c r="B26" s="2" t="s">
        <v>41</v>
      </c>
      <c r="C26" s="1" t="s">
        <v>69</v>
      </c>
      <c r="D26" s="1">
        <v>22</v>
      </c>
      <c r="E26" s="1" t="s">
        <v>10</v>
      </c>
      <c r="F26" s="5">
        <v>44646</v>
      </c>
      <c r="G26" s="5">
        <v>44648</v>
      </c>
      <c r="H26" s="5">
        <v>44649</v>
      </c>
      <c r="I26" s="10">
        <v>44650.541666666664</v>
      </c>
      <c r="J26" s="10">
        <v>44650.695011574076</v>
      </c>
      <c r="K26" s="1">
        <v>2</v>
      </c>
      <c r="L26" s="1" t="s">
        <v>33</v>
      </c>
      <c r="M26" s="5">
        <v>44408</v>
      </c>
      <c r="N26" s="16">
        <v>22.11</v>
      </c>
      <c r="O26" s="16">
        <v>21.17</v>
      </c>
    </row>
    <row r="27" spans="1:15" x14ac:dyDescent="0.2">
      <c r="A27" s="1">
        <v>26</v>
      </c>
      <c r="B27" s="2" t="s">
        <v>40</v>
      </c>
      <c r="C27" s="1" t="s">
        <v>70</v>
      </c>
      <c r="D27" s="1">
        <v>31</v>
      </c>
      <c r="E27" s="1" t="s">
        <v>10</v>
      </c>
      <c r="F27" s="5">
        <v>44649</v>
      </c>
      <c r="G27" s="5">
        <v>44649</v>
      </c>
      <c r="H27" s="5">
        <v>44649</v>
      </c>
      <c r="I27" s="10">
        <v>44649.284722222219</v>
      </c>
      <c r="J27" s="10">
        <v>44650.697939814818</v>
      </c>
      <c r="K27" s="1">
        <v>2</v>
      </c>
      <c r="L27" s="1" t="s">
        <v>35</v>
      </c>
      <c r="M27" s="5">
        <v>44442</v>
      </c>
      <c r="N27" s="16">
        <v>29.16</v>
      </c>
      <c r="O27" s="16">
        <v>28.6</v>
      </c>
    </row>
    <row r="28" spans="1:15" x14ac:dyDescent="0.2">
      <c r="A28" s="1">
        <v>27</v>
      </c>
      <c r="B28" s="2" t="s">
        <v>41</v>
      </c>
      <c r="C28" s="1" t="s">
        <v>71</v>
      </c>
      <c r="D28" s="1">
        <v>22</v>
      </c>
      <c r="E28" s="3" t="s">
        <v>23</v>
      </c>
      <c r="F28" s="5">
        <v>44646</v>
      </c>
      <c r="G28" s="5">
        <v>44648</v>
      </c>
      <c r="H28" s="5">
        <v>44650</v>
      </c>
      <c r="I28" s="10">
        <v>44650.6875</v>
      </c>
      <c r="J28" s="10">
        <v>44650.892291666663</v>
      </c>
      <c r="K28" s="1">
        <v>2</v>
      </c>
      <c r="L28" s="1" t="s">
        <v>36</v>
      </c>
      <c r="M28" s="5">
        <v>44492</v>
      </c>
      <c r="N28" s="16">
        <v>25.75</v>
      </c>
      <c r="O28" s="16">
        <v>21.96</v>
      </c>
    </row>
    <row r="29" spans="1:15" x14ac:dyDescent="0.2">
      <c r="A29" s="1">
        <v>28</v>
      </c>
      <c r="B29" s="2" t="s">
        <v>40</v>
      </c>
      <c r="C29" s="1" t="s">
        <v>72</v>
      </c>
      <c r="D29" s="1">
        <v>37</v>
      </c>
      <c r="E29" s="3" t="s">
        <v>23</v>
      </c>
      <c r="F29" s="5">
        <v>44648</v>
      </c>
      <c r="G29" s="5">
        <v>44648</v>
      </c>
      <c r="H29" s="5">
        <v>44650</v>
      </c>
      <c r="I29" s="10">
        <v>44651.87777777778</v>
      </c>
      <c r="J29" s="10">
        <v>44652.339062500003</v>
      </c>
      <c r="K29" s="1">
        <v>3</v>
      </c>
      <c r="L29" s="1" t="s">
        <v>33</v>
      </c>
      <c r="M29" s="5">
        <v>44613</v>
      </c>
      <c r="N29" s="16">
        <v>31.72</v>
      </c>
      <c r="O29" s="16">
        <v>29.39</v>
      </c>
    </row>
    <row r="30" spans="1:15" x14ac:dyDescent="0.2">
      <c r="A30" s="1">
        <v>29</v>
      </c>
      <c r="B30" s="2" t="s">
        <v>41</v>
      </c>
      <c r="C30" s="1" t="s">
        <v>73</v>
      </c>
      <c r="D30" s="1">
        <v>27</v>
      </c>
      <c r="E30" s="3" t="s">
        <v>23</v>
      </c>
      <c r="F30" s="5">
        <v>44648</v>
      </c>
      <c r="G30" s="5">
        <v>44652</v>
      </c>
      <c r="H30" s="5">
        <v>44652</v>
      </c>
      <c r="I30" s="10">
        <v>44653.427083333336</v>
      </c>
      <c r="J30" s="10">
        <v>44653.619618055556</v>
      </c>
      <c r="K30" s="1">
        <v>0</v>
      </c>
      <c r="L30" s="1"/>
      <c r="M30" s="5"/>
      <c r="N30" s="16">
        <v>22.3</v>
      </c>
      <c r="O30" s="16">
        <v>26.22</v>
      </c>
    </row>
    <row r="31" spans="1:15" x14ac:dyDescent="0.2">
      <c r="A31" s="1">
        <v>30</v>
      </c>
      <c r="B31" s="2" t="s">
        <v>40</v>
      </c>
      <c r="C31" s="1" t="s">
        <v>74</v>
      </c>
      <c r="D31" s="1">
        <v>30</v>
      </c>
      <c r="E31" s="3" t="s">
        <v>20</v>
      </c>
      <c r="F31" s="5">
        <v>44646</v>
      </c>
      <c r="G31" s="5">
        <v>44646</v>
      </c>
      <c r="H31" s="5">
        <v>44651</v>
      </c>
      <c r="I31" s="10">
        <v>44653.947222222225</v>
      </c>
      <c r="J31" s="10">
        <v>44654.344108796293</v>
      </c>
      <c r="K31" s="1">
        <v>2</v>
      </c>
      <c r="L31" s="1" t="s">
        <v>35</v>
      </c>
      <c r="M31" s="5">
        <v>44419</v>
      </c>
      <c r="N31" s="16">
        <v>21.3</v>
      </c>
      <c r="O31" s="16">
        <v>17.5</v>
      </c>
    </row>
    <row r="32" spans="1:15" x14ac:dyDescent="0.2">
      <c r="A32" s="1">
        <v>31</v>
      </c>
      <c r="B32" s="2" t="s">
        <v>41</v>
      </c>
      <c r="C32" s="1" t="s">
        <v>75</v>
      </c>
      <c r="D32" s="1">
        <v>51</v>
      </c>
      <c r="E32" s="3" t="s">
        <v>20</v>
      </c>
      <c r="F32" s="5">
        <v>44653.729166666664</v>
      </c>
      <c r="G32" s="5">
        <v>44653.729166666664</v>
      </c>
      <c r="H32" s="5">
        <v>44653</v>
      </c>
      <c r="I32" s="10">
        <v>44653.900694444441</v>
      </c>
      <c r="J32" s="10">
        <v>44654.534305555557</v>
      </c>
      <c r="K32" s="1">
        <v>0</v>
      </c>
      <c r="L32" s="1"/>
      <c r="M32" s="5"/>
      <c r="N32" s="16">
        <v>39.03</v>
      </c>
      <c r="O32" s="16">
        <v>41.03</v>
      </c>
    </row>
    <row r="33" spans="1:15" x14ac:dyDescent="0.2">
      <c r="A33" s="1">
        <v>32</v>
      </c>
      <c r="B33" s="2" t="s">
        <v>40</v>
      </c>
      <c r="C33" s="1" t="s">
        <v>76</v>
      </c>
      <c r="D33" s="1">
        <v>0.57999999999999996</v>
      </c>
      <c r="E33" s="3" t="s">
        <v>23</v>
      </c>
      <c r="F33" s="5">
        <v>44653.729166666664</v>
      </c>
      <c r="G33" s="5">
        <v>44653.729166666664</v>
      </c>
      <c r="H33" s="5">
        <v>44653</v>
      </c>
      <c r="I33" s="10">
        <v>44654.652777777781</v>
      </c>
      <c r="J33" s="10">
        <v>44654.893807870372</v>
      </c>
      <c r="K33" s="1">
        <v>0</v>
      </c>
      <c r="L33" s="1"/>
      <c r="M33" s="5"/>
      <c r="N33" s="16">
        <v>32.04</v>
      </c>
      <c r="O33" s="16">
        <v>31.87</v>
      </c>
    </row>
    <row r="34" spans="1:15" x14ac:dyDescent="0.2">
      <c r="A34" s="1">
        <v>33</v>
      </c>
      <c r="B34" s="2" t="s">
        <v>41</v>
      </c>
      <c r="C34" s="1" t="s">
        <v>77</v>
      </c>
      <c r="D34" s="1">
        <v>31</v>
      </c>
      <c r="E34" s="3" t="s">
        <v>23</v>
      </c>
      <c r="F34" s="5">
        <v>44652</v>
      </c>
      <c r="G34" s="5">
        <v>44652</v>
      </c>
      <c r="H34" s="5">
        <v>44654</v>
      </c>
      <c r="I34" s="10">
        <v>44655.790972222225</v>
      </c>
      <c r="J34" s="10">
        <v>44655.966006944444</v>
      </c>
      <c r="K34" s="1">
        <v>0</v>
      </c>
      <c r="L34" s="1"/>
      <c r="M34" s="5"/>
      <c r="N34" s="16">
        <v>31.3</v>
      </c>
      <c r="O34" s="16">
        <v>28.33</v>
      </c>
    </row>
    <row r="35" spans="1:15" x14ac:dyDescent="0.2">
      <c r="A35" s="1">
        <v>34</v>
      </c>
      <c r="B35" s="2" t="s">
        <v>40</v>
      </c>
      <c r="C35" s="1" t="s">
        <v>78</v>
      </c>
      <c r="D35" s="1">
        <v>28</v>
      </c>
      <c r="E35" s="3" t="s">
        <v>23</v>
      </c>
      <c r="F35" s="5">
        <v>44653.729166666664</v>
      </c>
      <c r="G35" s="5">
        <v>44653.729166666664</v>
      </c>
      <c r="H35" s="5">
        <v>44656</v>
      </c>
      <c r="I35" s="10">
        <v>44656.714583333334</v>
      </c>
      <c r="J35" s="10">
        <v>44656.882916666669</v>
      </c>
      <c r="K35" s="1">
        <v>2</v>
      </c>
      <c r="L35" s="1" t="s">
        <v>36</v>
      </c>
      <c r="M35" s="5">
        <v>44371</v>
      </c>
      <c r="N35" s="17">
        <v>31.32</v>
      </c>
      <c r="O35" s="17">
        <v>29.9</v>
      </c>
    </row>
    <row r="36" spans="1:15" x14ac:dyDescent="0.2">
      <c r="A36" s="1">
        <v>35</v>
      </c>
      <c r="B36" s="2" t="s">
        <v>41</v>
      </c>
      <c r="C36" s="1" t="s">
        <v>79</v>
      </c>
      <c r="D36" s="1">
        <v>24</v>
      </c>
      <c r="E36" s="3" t="s">
        <v>20</v>
      </c>
      <c r="F36" s="5">
        <v>44648</v>
      </c>
      <c r="G36" s="5">
        <v>44652</v>
      </c>
      <c r="H36" s="5">
        <v>44657</v>
      </c>
      <c r="I36" s="10">
        <v>44658.731944444444</v>
      </c>
      <c r="J36" s="10">
        <v>44658.822708333333</v>
      </c>
      <c r="K36" s="1">
        <v>2</v>
      </c>
      <c r="L36" s="1" t="s">
        <v>36</v>
      </c>
      <c r="M36" s="5">
        <v>44371</v>
      </c>
      <c r="N36" s="16">
        <v>18.23</v>
      </c>
      <c r="O36" s="16">
        <v>16.59</v>
      </c>
    </row>
  </sheetData>
  <autoFilter ref="A1:N3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AD0F-2AED-443D-AF44-D85409F138EB}">
  <dimension ref="A1"/>
  <sheetViews>
    <sheetView workbookViewId="0">
      <selection activeCell="J19" sqref="J19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6"/>
  <sheetViews>
    <sheetView workbookViewId="0">
      <selection activeCell="P27" sqref="P27"/>
    </sheetView>
  </sheetViews>
  <sheetFormatPr defaultRowHeight="14.25" x14ac:dyDescent="0.2"/>
  <cols>
    <col min="4" max="4" width="13" customWidth="1"/>
    <col min="5" max="9" width="15.5" customWidth="1"/>
    <col min="10" max="10" width="17.5" customWidth="1"/>
    <col min="11" max="11" width="11.125" bestFit="1" customWidth="1"/>
    <col min="12" max="13" width="13.75" customWidth="1"/>
    <col min="14" max="14" width="15.125" customWidth="1"/>
    <col min="15" max="15" width="14.75" customWidth="1"/>
    <col min="16" max="16" width="18.875" customWidth="1"/>
    <col min="17" max="17" width="14.5" customWidth="1"/>
    <col min="18" max="18" width="12.625" customWidth="1"/>
    <col min="19" max="19" width="15.75" customWidth="1"/>
  </cols>
  <sheetData>
    <row r="1" spans="1:21" ht="28.5" x14ac:dyDescent="0.2">
      <c r="A1" s="6" t="s">
        <v>0</v>
      </c>
      <c r="B1" s="6" t="s">
        <v>1</v>
      </c>
      <c r="C1" s="6" t="s">
        <v>11</v>
      </c>
      <c r="D1" s="6" t="s">
        <v>2</v>
      </c>
      <c r="E1" s="7" t="s">
        <v>3</v>
      </c>
      <c r="F1" s="6" t="s">
        <v>4</v>
      </c>
      <c r="G1" s="6" t="s">
        <v>5</v>
      </c>
      <c r="H1" s="8" t="s">
        <v>6</v>
      </c>
      <c r="I1" s="9" t="s">
        <v>7</v>
      </c>
      <c r="J1" s="9" t="s">
        <v>8</v>
      </c>
      <c r="K1" s="6" t="s">
        <v>9</v>
      </c>
      <c r="L1" s="6" t="s">
        <v>32</v>
      </c>
      <c r="M1" s="6" t="s">
        <v>42</v>
      </c>
      <c r="N1" s="8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12" t="s">
        <v>18</v>
      </c>
      <c r="U1" s="12" t="s">
        <v>19</v>
      </c>
    </row>
    <row r="2" spans="1:21" x14ac:dyDescent="0.2">
      <c r="A2" s="1">
        <v>1</v>
      </c>
      <c r="B2" s="2"/>
      <c r="C2" s="2" t="s">
        <v>40</v>
      </c>
      <c r="D2" s="1">
        <v>31</v>
      </c>
      <c r="E2" s="3" t="s">
        <v>20</v>
      </c>
      <c r="F2" s="5">
        <v>44629</v>
      </c>
      <c r="G2" s="5">
        <v>44630</v>
      </c>
      <c r="H2" s="5">
        <v>44631</v>
      </c>
      <c r="I2" s="10">
        <v>44631</v>
      </c>
      <c r="J2" s="10">
        <v>44631</v>
      </c>
      <c r="K2" s="4">
        <v>3</v>
      </c>
      <c r="L2" s="4" t="s">
        <v>33</v>
      </c>
      <c r="M2" s="5">
        <f t="shared" ref="M2:M36" si="0">MAX(N2,P2,R2)</f>
        <v>44598</v>
      </c>
      <c r="N2" s="5">
        <v>44375</v>
      </c>
      <c r="O2" s="13" t="s">
        <v>21</v>
      </c>
      <c r="P2" s="5">
        <v>44407</v>
      </c>
      <c r="Q2" s="13" t="s">
        <v>22</v>
      </c>
      <c r="R2" s="5">
        <v>44598</v>
      </c>
      <c r="S2" s="13" t="s">
        <v>21</v>
      </c>
      <c r="T2" s="14">
        <v>24.6</v>
      </c>
      <c r="U2" s="14">
        <v>23.22</v>
      </c>
    </row>
    <row r="3" spans="1:21" x14ac:dyDescent="0.2">
      <c r="A3" s="1">
        <v>2</v>
      </c>
      <c r="B3" s="2"/>
      <c r="C3" s="2" t="s">
        <v>40</v>
      </c>
      <c r="D3" s="1">
        <v>35</v>
      </c>
      <c r="E3" s="3" t="s">
        <v>23</v>
      </c>
      <c r="F3" s="5">
        <v>44627</v>
      </c>
      <c r="G3" s="5">
        <v>44632</v>
      </c>
      <c r="H3" s="5">
        <v>44633</v>
      </c>
      <c r="I3" s="10">
        <v>44633</v>
      </c>
      <c r="J3" s="10">
        <v>44633</v>
      </c>
      <c r="K3" s="1">
        <v>3</v>
      </c>
      <c r="L3" s="1" t="s">
        <v>34</v>
      </c>
      <c r="M3" s="5">
        <f t="shared" si="0"/>
        <v>44601</v>
      </c>
      <c r="N3" s="11">
        <v>44350</v>
      </c>
      <c r="O3" s="15" t="s">
        <v>22</v>
      </c>
      <c r="P3" s="11">
        <v>44394</v>
      </c>
      <c r="Q3" s="15" t="s">
        <v>24</v>
      </c>
      <c r="R3" s="11">
        <v>44601</v>
      </c>
      <c r="S3" s="15" t="s">
        <v>24</v>
      </c>
      <c r="T3" s="16">
        <v>18.649999999999999</v>
      </c>
      <c r="U3" s="16">
        <v>16.43</v>
      </c>
    </row>
    <row r="4" spans="1:21" x14ac:dyDescent="0.2">
      <c r="A4" s="1">
        <v>3</v>
      </c>
      <c r="B4" s="2"/>
      <c r="C4" s="2" t="s">
        <v>40</v>
      </c>
      <c r="D4" s="1">
        <v>40</v>
      </c>
      <c r="E4" s="3" t="s">
        <v>23</v>
      </c>
      <c r="F4" s="5">
        <v>44630</v>
      </c>
      <c r="G4" s="5">
        <v>44633</v>
      </c>
      <c r="H4" s="5">
        <v>44633</v>
      </c>
      <c r="I4" s="10">
        <v>44633</v>
      </c>
      <c r="J4" s="10">
        <v>44633</v>
      </c>
      <c r="K4" s="1">
        <v>3</v>
      </c>
      <c r="L4" s="1" t="s">
        <v>35</v>
      </c>
      <c r="M4" s="5">
        <f t="shared" si="0"/>
        <v>44557</v>
      </c>
      <c r="N4" s="11">
        <v>44334</v>
      </c>
      <c r="O4" s="15" t="s">
        <v>22</v>
      </c>
      <c r="P4" s="11">
        <v>44358</v>
      </c>
      <c r="Q4" s="15" t="s">
        <v>22</v>
      </c>
      <c r="R4" s="11">
        <v>44557</v>
      </c>
      <c r="S4" s="15" t="s">
        <v>25</v>
      </c>
      <c r="T4" s="16">
        <v>18.63</v>
      </c>
      <c r="U4" s="16">
        <v>18.02</v>
      </c>
    </row>
    <row r="5" spans="1:21" x14ac:dyDescent="0.2">
      <c r="A5" s="1">
        <v>4</v>
      </c>
      <c r="B5" s="2"/>
      <c r="C5" s="2" t="s">
        <v>40</v>
      </c>
      <c r="D5" s="1">
        <v>33</v>
      </c>
      <c r="E5" s="3" t="s">
        <v>20</v>
      </c>
      <c r="F5" s="5">
        <v>44632</v>
      </c>
      <c r="G5" s="5">
        <v>44632</v>
      </c>
      <c r="H5" s="5">
        <v>44634</v>
      </c>
      <c r="I5" s="10">
        <v>44634</v>
      </c>
      <c r="J5" s="10">
        <v>44634</v>
      </c>
      <c r="K5" s="1">
        <v>2</v>
      </c>
      <c r="L5" s="4" t="s">
        <v>33</v>
      </c>
      <c r="M5" s="5">
        <f t="shared" si="0"/>
        <v>44469</v>
      </c>
      <c r="N5" s="11">
        <v>44434</v>
      </c>
      <c r="O5" s="15" t="s">
        <v>24</v>
      </c>
      <c r="P5" s="11">
        <v>44469</v>
      </c>
      <c r="Q5" s="15" t="s">
        <v>22</v>
      </c>
      <c r="R5" s="11"/>
      <c r="S5" s="15" t="s">
        <v>26</v>
      </c>
      <c r="T5" s="16">
        <v>29.31</v>
      </c>
      <c r="U5" s="16">
        <v>24.61</v>
      </c>
    </row>
    <row r="6" spans="1:21" x14ac:dyDescent="0.2">
      <c r="A6" s="1">
        <v>5</v>
      </c>
      <c r="B6" s="2">
        <v>2</v>
      </c>
      <c r="C6" s="2" t="s">
        <v>41</v>
      </c>
      <c r="D6" s="1">
        <v>26</v>
      </c>
      <c r="E6" s="3" t="s">
        <v>23</v>
      </c>
      <c r="F6" s="5">
        <v>44632</v>
      </c>
      <c r="G6" s="5">
        <v>44632</v>
      </c>
      <c r="H6" s="5">
        <v>44635</v>
      </c>
      <c r="I6" s="10">
        <v>44635</v>
      </c>
      <c r="J6" s="10">
        <v>44635</v>
      </c>
      <c r="K6" s="1">
        <v>3</v>
      </c>
      <c r="L6" s="1" t="s">
        <v>36</v>
      </c>
      <c r="M6" s="5">
        <f t="shared" si="0"/>
        <v>44559</v>
      </c>
      <c r="N6" s="11">
        <v>44336</v>
      </c>
      <c r="O6" s="15" t="s">
        <v>24</v>
      </c>
      <c r="P6" s="11">
        <v>44372</v>
      </c>
      <c r="Q6" s="15" t="s">
        <v>24</v>
      </c>
      <c r="R6" s="11">
        <v>44559</v>
      </c>
      <c r="S6" s="15" t="s">
        <v>24</v>
      </c>
      <c r="T6" s="16">
        <v>36.4</v>
      </c>
      <c r="U6" s="16">
        <v>33.04</v>
      </c>
    </row>
    <row r="7" spans="1:21" x14ac:dyDescent="0.2">
      <c r="A7" s="1">
        <v>6</v>
      </c>
      <c r="B7" s="2">
        <v>2</v>
      </c>
      <c r="C7" s="2" t="s">
        <v>41</v>
      </c>
      <c r="D7" s="1">
        <v>32</v>
      </c>
      <c r="E7" s="3" t="s">
        <v>23</v>
      </c>
      <c r="F7" s="5">
        <v>44632</v>
      </c>
      <c r="G7" s="5">
        <v>44632</v>
      </c>
      <c r="H7" s="5">
        <v>44635</v>
      </c>
      <c r="I7" s="10">
        <v>44635</v>
      </c>
      <c r="J7" s="10">
        <v>44635</v>
      </c>
      <c r="K7" s="1">
        <v>2</v>
      </c>
      <c r="L7" s="1" t="s">
        <v>36</v>
      </c>
      <c r="M7" s="5">
        <f t="shared" si="0"/>
        <v>44408</v>
      </c>
      <c r="N7" s="11">
        <v>44351</v>
      </c>
      <c r="O7" s="15" t="s">
        <v>27</v>
      </c>
      <c r="P7" s="11">
        <v>44408</v>
      </c>
      <c r="Q7" s="15" t="s">
        <v>27</v>
      </c>
      <c r="R7" s="11"/>
      <c r="S7" s="15" t="s">
        <v>26</v>
      </c>
      <c r="T7" s="16">
        <v>36</v>
      </c>
      <c r="U7" s="16">
        <v>34.590000000000003</v>
      </c>
    </row>
    <row r="8" spans="1:21" x14ac:dyDescent="0.2">
      <c r="A8" s="1">
        <v>7</v>
      </c>
      <c r="B8" s="2">
        <v>3</v>
      </c>
      <c r="C8" s="2" t="s">
        <v>41</v>
      </c>
      <c r="D8" s="1">
        <v>22</v>
      </c>
      <c r="E8" s="3" t="s">
        <v>23</v>
      </c>
      <c r="F8" s="5">
        <v>44633</v>
      </c>
      <c r="G8" s="5">
        <v>44633</v>
      </c>
      <c r="H8" s="5">
        <v>44635</v>
      </c>
      <c r="I8" s="10">
        <v>44635</v>
      </c>
      <c r="J8" s="10">
        <v>44635</v>
      </c>
      <c r="K8" s="1">
        <v>3</v>
      </c>
      <c r="L8" s="1" t="s">
        <v>35</v>
      </c>
      <c r="M8" s="5">
        <f t="shared" si="0"/>
        <v>44531</v>
      </c>
      <c r="N8" s="11">
        <v>44266</v>
      </c>
      <c r="O8" s="15" t="s">
        <v>22</v>
      </c>
      <c r="P8" s="11">
        <v>44348</v>
      </c>
      <c r="Q8" s="15" t="s">
        <v>37</v>
      </c>
      <c r="R8" s="11">
        <v>44531</v>
      </c>
      <c r="S8" s="15" t="s">
        <v>38</v>
      </c>
      <c r="T8" s="16">
        <v>38.270000000000003</v>
      </c>
      <c r="U8" s="16">
        <v>35.07</v>
      </c>
    </row>
    <row r="9" spans="1:21" x14ac:dyDescent="0.2">
      <c r="A9" s="1">
        <v>8</v>
      </c>
      <c r="B9" s="2">
        <v>2</v>
      </c>
      <c r="C9" s="2" t="s">
        <v>41</v>
      </c>
      <c r="D9" s="1">
        <v>29</v>
      </c>
      <c r="E9" s="3" t="s">
        <v>20</v>
      </c>
      <c r="F9" s="5">
        <v>44632</v>
      </c>
      <c r="G9" s="5">
        <v>44632</v>
      </c>
      <c r="H9" s="5">
        <v>44635</v>
      </c>
      <c r="I9" s="10">
        <v>44635</v>
      </c>
      <c r="J9" s="10">
        <v>44635</v>
      </c>
      <c r="K9" s="1">
        <v>2</v>
      </c>
      <c r="L9" s="1" t="s">
        <v>34</v>
      </c>
      <c r="M9" s="5">
        <f t="shared" si="0"/>
        <v>44368</v>
      </c>
      <c r="N9" s="11">
        <v>44346</v>
      </c>
      <c r="O9" s="15" t="s">
        <v>22</v>
      </c>
      <c r="P9" s="11">
        <v>44368</v>
      </c>
      <c r="Q9" s="15" t="s">
        <v>24</v>
      </c>
      <c r="R9" s="11"/>
      <c r="S9" s="15" t="s">
        <v>26</v>
      </c>
      <c r="T9" s="16">
        <v>30.6</v>
      </c>
      <c r="U9" s="16">
        <v>36.86</v>
      </c>
    </row>
    <row r="10" spans="1:21" x14ac:dyDescent="0.2">
      <c r="A10" s="1">
        <v>9</v>
      </c>
      <c r="B10" s="2">
        <v>3</v>
      </c>
      <c r="C10" s="2" t="s">
        <v>41</v>
      </c>
      <c r="D10" s="1">
        <v>64</v>
      </c>
      <c r="E10" s="3" t="s">
        <v>20</v>
      </c>
      <c r="F10" s="5">
        <v>44633</v>
      </c>
      <c r="G10" s="5">
        <v>44634</v>
      </c>
      <c r="H10" s="5">
        <v>44635</v>
      </c>
      <c r="I10" s="10">
        <v>44635</v>
      </c>
      <c r="J10" s="10">
        <v>44635</v>
      </c>
      <c r="K10" s="1">
        <v>3</v>
      </c>
      <c r="L10" s="4" t="s">
        <v>33</v>
      </c>
      <c r="M10" s="5">
        <f t="shared" si="0"/>
        <v>44587</v>
      </c>
      <c r="N10" s="11">
        <v>44376</v>
      </c>
      <c r="O10" s="15" t="s">
        <v>24</v>
      </c>
      <c r="P10" s="11">
        <v>44399</v>
      </c>
      <c r="Q10" s="15" t="s">
        <v>28</v>
      </c>
      <c r="R10" s="11">
        <v>44587</v>
      </c>
      <c r="S10" s="15" t="s">
        <v>29</v>
      </c>
      <c r="T10" s="16">
        <v>27.81</v>
      </c>
      <c r="U10" s="16">
        <v>25.06</v>
      </c>
    </row>
    <row r="11" spans="1:21" x14ac:dyDescent="0.2">
      <c r="A11" s="1">
        <v>10</v>
      </c>
      <c r="B11" s="2"/>
      <c r="C11" s="2" t="s">
        <v>41</v>
      </c>
      <c r="D11" s="1">
        <v>34</v>
      </c>
      <c r="E11" s="3" t="s">
        <v>20</v>
      </c>
      <c r="F11" s="5">
        <v>44631</v>
      </c>
      <c r="G11" s="5">
        <v>44633</v>
      </c>
      <c r="H11" s="5">
        <v>44635</v>
      </c>
      <c r="I11" s="10">
        <v>44635</v>
      </c>
      <c r="J11" s="10">
        <v>44635</v>
      </c>
      <c r="K11" s="1">
        <v>3</v>
      </c>
      <c r="L11" s="1" t="s">
        <v>36</v>
      </c>
      <c r="M11" s="5">
        <f t="shared" si="0"/>
        <v>44551</v>
      </c>
      <c r="N11" s="11">
        <v>44291</v>
      </c>
      <c r="O11" s="15" t="s">
        <v>24</v>
      </c>
      <c r="P11" s="11">
        <v>44347</v>
      </c>
      <c r="Q11" s="15" t="s">
        <v>24</v>
      </c>
      <c r="R11" s="11">
        <v>44551</v>
      </c>
      <c r="S11" s="15" t="s">
        <v>24</v>
      </c>
      <c r="T11" s="16">
        <v>32.64</v>
      </c>
      <c r="U11" s="16">
        <v>29.84</v>
      </c>
    </row>
    <row r="12" spans="1:21" x14ac:dyDescent="0.2">
      <c r="A12" s="1">
        <v>11</v>
      </c>
      <c r="B12" s="2">
        <v>3</v>
      </c>
      <c r="C12" s="2" t="s">
        <v>40</v>
      </c>
      <c r="D12" s="1">
        <v>66</v>
      </c>
      <c r="E12" s="3" t="s">
        <v>20</v>
      </c>
      <c r="F12" s="5">
        <v>44633</v>
      </c>
      <c r="G12" s="5">
        <v>44633</v>
      </c>
      <c r="H12" s="5">
        <v>44636</v>
      </c>
      <c r="I12" s="10">
        <v>44636</v>
      </c>
      <c r="J12" s="10">
        <v>44636</v>
      </c>
      <c r="K12" s="1">
        <v>3</v>
      </c>
      <c r="L12" s="1" t="s">
        <v>36</v>
      </c>
      <c r="M12" s="5">
        <f t="shared" si="0"/>
        <v>44616</v>
      </c>
      <c r="N12" s="11">
        <v>44406</v>
      </c>
      <c r="O12" s="15" t="s">
        <v>27</v>
      </c>
      <c r="P12" s="11">
        <v>44427</v>
      </c>
      <c r="Q12" s="15" t="s">
        <v>27</v>
      </c>
      <c r="R12" s="11">
        <v>44616</v>
      </c>
      <c r="S12" s="15" t="s">
        <v>27</v>
      </c>
      <c r="T12" s="16">
        <v>35.03</v>
      </c>
      <c r="U12" s="16">
        <v>33.42</v>
      </c>
    </row>
    <row r="13" spans="1:21" x14ac:dyDescent="0.2">
      <c r="A13" s="1">
        <v>12</v>
      </c>
      <c r="B13" s="2"/>
      <c r="C13" s="2" t="s">
        <v>41</v>
      </c>
      <c r="D13" s="1">
        <v>31</v>
      </c>
      <c r="E13" s="3" t="s">
        <v>23</v>
      </c>
      <c r="F13" s="5">
        <v>44630</v>
      </c>
      <c r="G13" s="5">
        <v>44636</v>
      </c>
      <c r="H13" s="5">
        <v>44637</v>
      </c>
      <c r="I13" s="10">
        <v>44637</v>
      </c>
      <c r="J13" s="10">
        <v>44637</v>
      </c>
      <c r="K13" s="1">
        <v>2</v>
      </c>
      <c r="L13" s="1" t="s">
        <v>36</v>
      </c>
      <c r="M13" s="5">
        <f t="shared" si="0"/>
        <v>44374</v>
      </c>
      <c r="N13" s="11">
        <v>44355</v>
      </c>
      <c r="O13" s="15" t="s">
        <v>24</v>
      </c>
      <c r="P13" s="11">
        <v>44374</v>
      </c>
      <c r="Q13" s="15" t="s">
        <v>24</v>
      </c>
      <c r="R13" s="11"/>
      <c r="S13" s="15" t="s">
        <v>26</v>
      </c>
      <c r="T13" s="16">
        <v>25.5</v>
      </c>
      <c r="U13" s="16">
        <v>22.5</v>
      </c>
    </row>
    <row r="14" spans="1:21" x14ac:dyDescent="0.2">
      <c r="A14" s="1">
        <v>13</v>
      </c>
      <c r="B14" s="2">
        <v>12</v>
      </c>
      <c r="C14" s="2" t="s">
        <v>40</v>
      </c>
      <c r="D14" s="1">
        <v>27</v>
      </c>
      <c r="E14" s="3" t="s">
        <v>20</v>
      </c>
      <c r="F14" s="5">
        <v>44637</v>
      </c>
      <c r="G14" s="5">
        <v>44637</v>
      </c>
      <c r="H14" s="5">
        <v>44638</v>
      </c>
      <c r="I14" s="10">
        <v>44638</v>
      </c>
      <c r="J14" s="10">
        <v>44638</v>
      </c>
      <c r="K14" s="1">
        <v>2</v>
      </c>
      <c r="L14" s="1" t="s">
        <v>36</v>
      </c>
      <c r="M14" s="5">
        <f t="shared" si="0"/>
        <v>44428</v>
      </c>
      <c r="N14" s="11">
        <v>44396</v>
      </c>
      <c r="O14" s="15" t="s">
        <v>24</v>
      </c>
      <c r="P14" s="11">
        <v>44428</v>
      </c>
      <c r="Q14" s="15" t="s">
        <v>24</v>
      </c>
      <c r="R14" s="11" t="s">
        <v>26</v>
      </c>
      <c r="S14" s="15" t="s">
        <v>26</v>
      </c>
      <c r="T14" s="16">
        <v>21.18</v>
      </c>
      <c r="U14" s="16">
        <v>19.100000000000001</v>
      </c>
    </row>
    <row r="15" spans="1:21" x14ac:dyDescent="0.2">
      <c r="A15" s="1">
        <v>14</v>
      </c>
      <c r="B15" s="2">
        <v>10</v>
      </c>
      <c r="C15" s="2" t="s">
        <v>40</v>
      </c>
      <c r="D15" s="1">
        <v>25</v>
      </c>
      <c r="E15" s="3" t="s">
        <v>20</v>
      </c>
      <c r="F15" s="5">
        <v>44635</v>
      </c>
      <c r="G15" s="5">
        <v>44635</v>
      </c>
      <c r="H15" s="5">
        <v>44638</v>
      </c>
      <c r="I15" s="10">
        <v>44638</v>
      </c>
      <c r="J15" s="10">
        <v>44638</v>
      </c>
      <c r="K15" s="1">
        <v>2</v>
      </c>
      <c r="L15" s="1" t="s">
        <v>39</v>
      </c>
      <c r="M15" s="5">
        <f t="shared" si="0"/>
        <v>44369</v>
      </c>
      <c r="N15" s="11">
        <v>44369</v>
      </c>
      <c r="O15" s="15" t="s">
        <v>30</v>
      </c>
      <c r="P15" s="11"/>
      <c r="Q15" s="15" t="s">
        <v>26</v>
      </c>
      <c r="R15" s="11"/>
      <c r="S15" s="15" t="s">
        <v>26</v>
      </c>
      <c r="T15" s="16">
        <v>36.01</v>
      </c>
      <c r="U15" s="16">
        <v>30.85</v>
      </c>
    </row>
    <row r="16" spans="1:21" x14ac:dyDescent="0.2">
      <c r="A16" s="1">
        <v>15</v>
      </c>
      <c r="B16" s="2"/>
      <c r="C16" s="2" t="s">
        <v>41</v>
      </c>
      <c r="D16" s="1">
        <v>26</v>
      </c>
      <c r="E16" s="3" t="s">
        <v>23</v>
      </c>
      <c r="F16" s="5">
        <v>44635</v>
      </c>
      <c r="G16" s="5">
        <v>44635</v>
      </c>
      <c r="H16" s="5">
        <v>44638</v>
      </c>
      <c r="I16" s="10">
        <v>44638</v>
      </c>
      <c r="J16" s="10">
        <v>44638</v>
      </c>
      <c r="K16" s="1">
        <v>2</v>
      </c>
      <c r="L16" s="1" t="s">
        <v>35</v>
      </c>
      <c r="M16" s="5">
        <f t="shared" si="0"/>
        <v>44367</v>
      </c>
      <c r="N16" s="11">
        <v>44342</v>
      </c>
      <c r="O16" s="15" t="s">
        <v>22</v>
      </c>
      <c r="P16" s="11">
        <v>44367</v>
      </c>
      <c r="Q16" s="15" t="s">
        <v>22</v>
      </c>
      <c r="R16" s="11"/>
      <c r="S16" s="15" t="s">
        <v>26</v>
      </c>
      <c r="T16" s="16">
        <v>26.59</v>
      </c>
      <c r="U16" s="16">
        <v>20.62</v>
      </c>
    </row>
    <row r="17" spans="1:21" x14ac:dyDescent="0.2">
      <c r="A17" s="1">
        <v>16</v>
      </c>
      <c r="B17" s="2">
        <v>10</v>
      </c>
      <c r="C17" s="2" t="s">
        <v>40</v>
      </c>
      <c r="D17" s="1">
        <v>32</v>
      </c>
      <c r="E17" s="3" t="s">
        <v>23</v>
      </c>
      <c r="F17" s="5">
        <v>44635</v>
      </c>
      <c r="G17" s="5">
        <v>44635</v>
      </c>
      <c r="H17" s="5">
        <v>44638</v>
      </c>
      <c r="I17" s="10">
        <v>44638</v>
      </c>
      <c r="J17" s="10">
        <v>44638</v>
      </c>
      <c r="K17" s="1">
        <v>2</v>
      </c>
      <c r="L17" s="1" t="s">
        <v>39</v>
      </c>
      <c r="M17" s="5">
        <f t="shared" si="0"/>
        <v>44369</v>
      </c>
      <c r="N17" s="11">
        <v>44369</v>
      </c>
      <c r="O17" s="15" t="s">
        <v>30</v>
      </c>
      <c r="P17" s="11"/>
      <c r="Q17" s="15" t="s">
        <v>26</v>
      </c>
      <c r="R17" s="11"/>
      <c r="S17" s="15" t="s">
        <v>26</v>
      </c>
      <c r="T17" s="16">
        <v>26.18</v>
      </c>
      <c r="U17" s="16">
        <v>22.1</v>
      </c>
    </row>
    <row r="18" spans="1:21" x14ac:dyDescent="0.2">
      <c r="A18" s="1">
        <v>17</v>
      </c>
      <c r="B18" s="2">
        <v>10</v>
      </c>
      <c r="C18" s="2" t="s">
        <v>41</v>
      </c>
      <c r="D18" s="1">
        <v>30</v>
      </c>
      <c r="E18" s="3" t="s">
        <v>23</v>
      </c>
      <c r="F18" s="5">
        <v>44634</v>
      </c>
      <c r="G18" s="5">
        <v>44635</v>
      </c>
      <c r="H18" s="5">
        <v>44638</v>
      </c>
      <c r="I18" s="10">
        <v>44638</v>
      </c>
      <c r="J18" s="10">
        <v>44638</v>
      </c>
      <c r="K18" s="1">
        <v>2</v>
      </c>
      <c r="L18" s="1" t="s">
        <v>39</v>
      </c>
      <c r="M18" s="5">
        <f t="shared" si="0"/>
        <v>44369</v>
      </c>
      <c r="N18" s="11">
        <v>44369</v>
      </c>
      <c r="O18" s="15" t="s">
        <v>30</v>
      </c>
      <c r="P18" s="11"/>
      <c r="Q18" s="15" t="s">
        <v>26</v>
      </c>
      <c r="R18" s="11"/>
      <c r="S18" s="15" t="s">
        <v>26</v>
      </c>
      <c r="T18" s="16">
        <v>19.21</v>
      </c>
      <c r="U18" s="16">
        <v>15.12</v>
      </c>
    </row>
    <row r="19" spans="1:21" x14ac:dyDescent="0.2">
      <c r="A19" s="1">
        <v>18</v>
      </c>
      <c r="B19" s="2">
        <v>19</v>
      </c>
      <c r="C19" s="2" t="s">
        <v>40</v>
      </c>
      <c r="D19" s="1">
        <v>53</v>
      </c>
      <c r="E19" s="3" t="s">
        <v>20</v>
      </c>
      <c r="F19" s="5">
        <v>44635</v>
      </c>
      <c r="G19" s="5">
        <v>44635</v>
      </c>
      <c r="H19" s="5">
        <v>44638</v>
      </c>
      <c r="I19" s="10">
        <v>44638</v>
      </c>
      <c r="J19" s="10">
        <v>44638</v>
      </c>
      <c r="K19" s="1">
        <v>3</v>
      </c>
      <c r="L19" s="1" t="s">
        <v>36</v>
      </c>
      <c r="M19" s="5">
        <f t="shared" si="0"/>
        <v>44601</v>
      </c>
      <c r="N19" s="11">
        <v>44384</v>
      </c>
      <c r="O19" s="15" t="s">
        <v>24</v>
      </c>
      <c r="P19" s="11">
        <v>44406</v>
      </c>
      <c r="Q19" s="15" t="s">
        <v>24</v>
      </c>
      <c r="R19" s="11">
        <v>44601</v>
      </c>
      <c r="S19" s="15" t="s">
        <v>24</v>
      </c>
      <c r="T19" s="16">
        <v>17.38</v>
      </c>
      <c r="U19" s="16">
        <v>15.6</v>
      </c>
    </row>
    <row r="20" spans="1:21" x14ac:dyDescent="0.2">
      <c r="A20" s="1">
        <v>19</v>
      </c>
      <c r="B20" s="2"/>
      <c r="C20" s="2" t="s">
        <v>40</v>
      </c>
      <c r="D20" s="1">
        <v>20</v>
      </c>
      <c r="E20" s="3" t="s">
        <v>20</v>
      </c>
      <c r="F20" s="5">
        <v>44634</v>
      </c>
      <c r="G20" s="5">
        <v>44634</v>
      </c>
      <c r="H20" s="5">
        <v>44639</v>
      </c>
      <c r="I20" s="10">
        <v>44639</v>
      </c>
      <c r="J20" s="10">
        <v>44639</v>
      </c>
      <c r="K20" s="1">
        <v>2</v>
      </c>
      <c r="L20" s="1" t="s">
        <v>36</v>
      </c>
      <c r="M20" s="5">
        <f t="shared" si="0"/>
        <v>44323</v>
      </c>
      <c r="N20" s="11">
        <v>44288</v>
      </c>
      <c r="O20" s="15" t="s">
        <v>24</v>
      </c>
      <c r="P20" s="11">
        <v>44323</v>
      </c>
      <c r="Q20" s="15" t="s">
        <v>24</v>
      </c>
      <c r="R20" s="11"/>
      <c r="S20" s="15" t="s">
        <v>26</v>
      </c>
      <c r="T20" s="16">
        <v>21.95</v>
      </c>
      <c r="U20" s="16">
        <v>17.79</v>
      </c>
    </row>
    <row r="21" spans="1:21" x14ac:dyDescent="0.2">
      <c r="A21" s="1">
        <v>20</v>
      </c>
      <c r="B21" s="2">
        <v>15</v>
      </c>
      <c r="C21" s="2" t="s">
        <v>41</v>
      </c>
      <c r="D21" s="1">
        <v>27</v>
      </c>
      <c r="E21" s="3" t="s">
        <v>20</v>
      </c>
      <c r="F21" s="5">
        <v>44637</v>
      </c>
      <c r="G21" s="5">
        <v>44638</v>
      </c>
      <c r="H21" s="5">
        <v>44638</v>
      </c>
      <c r="I21" s="10">
        <v>44638</v>
      </c>
      <c r="J21" s="10">
        <v>44638</v>
      </c>
      <c r="K21" s="1">
        <v>2</v>
      </c>
      <c r="L21" s="1" t="s">
        <v>36</v>
      </c>
      <c r="M21" s="5">
        <f t="shared" si="0"/>
        <v>44390</v>
      </c>
      <c r="N21" s="11">
        <v>44350</v>
      </c>
      <c r="O21" s="15" t="s">
        <v>24</v>
      </c>
      <c r="P21" s="11">
        <v>44390</v>
      </c>
      <c r="Q21" s="15" t="s">
        <v>24</v>
      </c>
      <c r="R21" s="11"/>
      <c r="S21" s="15" t="s">
        <v>26</v>
      </c>
      <c r="T21" s="16">
        <v>32.659999999999997</v>
      </c>
      <c r="U21" s="16">
        <v>29.09</v>
      </c>
    </row>
    <row r="22" spans="1:21" x14ac:dyDescent="0.2">
      <c r="A22" s="1">
        <v>21</v>
      </c>
      <c r="B22" s="2">
        <v>19</v>
      </c>
      <c r="C22" s="2" t="s">
        <v>41</v>
      </c>
      <c r="D22" s="1">
        <v>52</v>
      </c>
      <c r="E22" s="3" t="s">
        <v>23</v>
      </c>
      <c r="F22" s="5">
        <v>44635</v>
      </c>
      <c r="G22" s="5">
        <v>44639</v>
      </c>
      <c r="H22" s="5">
        <v>44640</v>
      </c>
      <c r="I22" s="10">
        <v>44640</v>
      </c>
      <c r="J22" s="10">
        <v>44640</v>
      </c>
      <c r="K22" s="1">
        <v>3</v>
      </c>
      <c r="L22" s="1" t="s">
        <v>36</v>
      </c>
      <c r="M22" s="5">
        <f t="shared" si="0"/>
        <v>44601</v>
      </c>
      <c r="N22" s="11">
        <v>44384</v>
      </c>
      <c r="O22" s="15" t="s">
        <v>24</v>
      </c>
      <c r="P22" s="11">
        <v>44406</v>
      </c>
      <c r="Q22" s="15" t="s">
        <v>24</v>
      </c>
      <c r="R22" s="11">
        <v>44601</v>
      </c>
      <c r="S22" s="15" t="s">
        <v>24</v>
      </c>
      <c r="T22" s="16">
        <v>28.51</v>
      </c>
      <c r="U22" s="16">
        <v>23.72</v>
      </c>
    </row>
    <row r="23" spans="1:21" x14ac:dyDescent="0.2">
      <c r="A23" s="1">
        <v>22</v>
      </c>
      <c r="B23" s="2">
        <v>15</v>
      </c>
      <c r="C23" s="2" t="s">
        <v>41</v>
      </c>
      <c r="D23" s="1">
        <v>50</v>
      </c>
      <c r="E23" s="3" t="s">
        <v>23</v>
      </c>
      <c r="F23" s="5">
        <v>44636</v>
      </c>
      <c r="G23" s="5">
        <v>44638</v>
      </c>
      <c r="H23" s="5">
        <v>44640</v>
      </c>
      <c r="I23" s="10">
        <v>44640</v>
      </c>
      <c r="J23" s="10">
        <v>44640</v>
      </c>
      <c r="K23" s="1">
        <v>2</v>
      </c>
      <c r="L23" s="1" t="s">
        <v>36</v>
      </c>
      <c r="M23" s="5">
        <f t="shared" si="0"/>
        <v>44373</v>
      </c>
      <c r="N23" s="11">
        <v>44350</v>
      </c>
      <c r="O23" s="15" t="s">
        <v>24</v>
      </c>
      <c r="P23" s="11">
        <v>44373</v>
      </c>
      <c r="Q23" s="15" t="s">
        <v>24</v>
      </c>
      <c r="R23" s="11"/>
      <c r="S23" s="15" t="s">
        <v>26</v>
      </c>
      <c r="T23" s="16">
        <v>27.79</v>
      </c>
      <c r="U23" s="16">
        <v>23.16</v>
      </c>
    </row>
    <row r="24" spans="1:21" x14ac:dyDescent="0.2">
      <c r="A24" s="1">
        <v>23</v>
      </c>
      <c r="B24" s="2"/>
      <c r="C24" s="2" t="s">
        <v>40</v>
      </c>
      <c r="D24" s="1">
        <v>38</v>
      </c>
      <c r="E24" s="3" t="s">
        <v>23</v>
      </c>
      <c r="F24" s="5">
        <v>44646</v>
      </c>
      <c r="G24" s="5">
        <v>44648</v>
      </c>
      <c r="H24" s="5">
        <v>44649</v>
      </c>
      <c r="I24" s="10">
        <v>44649</v>
      </c>
      <c r="J24" s="10">
        <v>44649</v>
      </c>
      <c r="K24" s="1">
        <v>3</v>
      </c>
      <c r="L24" s="1" t="s">
        <v>35</v>
      </c>
      <c r="M24" s="5">
        <f t="shared" si="0"/>
        <v>44567</v>
      </c>
      <c r="N24" s="11">
        <v>44347</v>
      </c>
      <c r="O24" s="15" t="s">
        <v>22</v>
      </c>
      <c r="P24" s="11">
        <v>44373</v>
      </c>
      <c r="Q24" s="15" t="s">
        <v>22</v>
      </c>
      <c r="R24" s="11">
        <v>44567</v>
      </c>
      <c r="S24" s="15" t="s">
        <v>22</v>
      </c>
      <c r="T24" s="16">
        <v>31.52</v>
      </c>
      <c r="U24" s="16">
        <v>28.59</v>
      </c>
    </row>
    <row r="25" spans="1:21" x14ac:dyDescent="0.2">
      <c r="A25" s="1">
        <v>24</v>
      </c>
      <c r="B25" s="2"/>
      <c r="C25" s="2" t="s">
        <v>41</v>
      </c>
      <c r="D25" s="1">
        <v>38</v>
      </c>
      <c r="E25" s="3" t="s">
        <v>23</v>
      </c>
      <c r="F25" s="5">
        <v>44646</v>
      </c>
      <c r="G25" s="5">
        <v>44648</v>
      </c>
      <c r="H25" s="5">
        <v>44649</v>
      </c>
      <c r="I25" s="10">
        <v>44649</v>
      </c>
      <c r="J25" s="10">
        <v>44649</v>
      </c>
      <c r="K25" s="1">
        <v>3</v>
      </c>
      <c r="L25" s="1" t="s">
        <v>36</v>
      </c>
      <c r="M25" s="5">
        <f t="shared" si="0"/>
        <v>44529</v>
      </c>
      <c r="N25" s="11">
        <v>44316</v>
      </c>
      <c r="O25" s="15" t="s">
        <v>27</v>
      </c>
      <c r="P25" s="11">
        <v>44335</v>
      </c>
      <c r="Q25" s="15" t="s">
        <v>27</v>
      </c>
      <c r="R25" s="11">
        <v>44529</v>
      </c>
      <c r="S25" s="15" t="s">
        <v>27</v>
      </c>
      <c r="T25" s="16">
        <v>23.09</v>
      </c>
      <c r="U25" s="16">
        <v>20.45</v>
      </c>
    </row>
    <row r="26" spans="1:21" x14ac:dyDescent="0.2">
      <c r="A26" s="1">
        <v>25</v>
      </c>
      <c r="B26" s="2"/>
      <c r="C26" s="2" t="s">
        <v>41</v>
      </c>
      <c r="D26" s="1">
        <v>22</v>
      </c>
      <c r="E26" s="1" t="s">
        <v>10</v>
      </c>
      <c r="F26" s="5">
        <v>44646</v>
      </c>
      <c r="G26" s="5">
        <v>44648</v>
      </c>
      <c r="H26" s="5">
        <v>44649</v>
      </c>
      <c r="I26" s="10">
        <v>44649</v>
      </c>
      <c r="J26" s="10">
        <v>44649</v>
      </c>
      <c r="K26" s="1">
        <v>2</v>
      </c>
      <c r="L26" s="1" t="s">
        <v>33</v>
      </c>
      <c r="M26" s="5">
        <f t="shared" si="0"/>
        <v>44408</v>
      </c>
      <c r="N26" s="11">
        <v>44378</v>
      </c>
      <c r="O26" s="15" t="s">
        <v>22</v>
      </c>
      <c r="P26" s="11">
        <v>44408</v>
      </c>
      <c r="Q26" s="15" t="s">
        <v>24</v>
      </c>
      <c r="R26" s="11"/>
      <c r="S26" s="15" t="s">
        <v>26</v>
      </c>
      <c r="T26" s="16">
        <v>20.97</v>
      </c>
      <c r="U26" s="16">
        <v>19.97</v>
      </c>
    </row>
    <row r="27" spans="1:21" x14ac:dyDescent="0.2">
      <c r="A27" s="1">
        <v>26</v>
      </c>
      <c r="B27" s="2"/>
      <c r="C27" s="2" t="s">
        <v>40</v>
      </c>
      <c r="D27" s="1">
        <v>31</v>
      </c>
      <c r="E27" s="1" t="s">
        <v>10</v>
      </c>
      <c r="F27" s="5">
        <v>44649</v>
      </c>
      <c r="G27" s="5">
        <v>44649</v>
      </c>
      <c r="H27" s="5">
        <v>44649</v>
      </c>
      <c r="I27" s="10">
        <v>44649</v>
      </c>
      <c r="J27" s="10">
        <v>44649</v>
      </c>
      <c r="K27" s="1">
        <v>2</v>
      </c>
      <c r="L27" s="1" t="s">
        <v>35</v>
      </c>
      <c r="M27" s="5">
        <f t="shared" si="0"/>
        <v>44442</v>
      </c>
      <c r="N27" s="11">
        <v>44414</v>
      </c>
      <c r="O27" s="15" t="s">
        <v>22</v>
      </c>
      <c r="P27" s="11">
        <v>44442</v>
      </c>
      <c r="Q27" s="15" t="s">
        <v>22</v>
      </c>
      <c r="R27" s="11"/>
      <c r="S27" s="15" t="s">
        <v>26</v>
      </c>
      <c r="T27" s="16">
        <v>18.829999999999998</v>
      </c>
      <c r="U27" s="16">
        <v>18.16</v>
      </c>
    </row>
    <row r="28" spans="1:21" x14ac:dyDescent="0.2">
      <c r="A28" s="1">
        <v>27</v>
      </c>
      <c r="B28" s="2"/>
      <c r="C28" s="2" t="s">
        <v>41</v>
      </c>
      <c r="D28" s="1">
        <v>22</v>
      </c>
      <c r="E28" s="3" t="s">
        <v>23</v>
      </c>
      <c r="F28" s="5">
        <v>44646</v>
      </c>
      <c r="G28" s="5">
        <v>44648</v>
      </c>
      <c r="H28" s="5">
        <v>44650</v>
      </c>
      <c r="I28" s="10">
        <v>44650</v>
      </c>
      <c r="J28" s="10">
        <v>44650</v>
      </c>
      <c r="K28" s="1">
        <v>2</v>
      </c>
      <c r="L28" s="1" t="s">
        <v>36</v>
      </c>
      <c r="M28" s="5">
        <f t="shared" si="0"/>
        <v>44492</v>
      </c>
      <c r="N28" s="11">
        <v>44404</v>
      </c>
      <c r="O28" s="15" t="s">
        <v>24</v>
      </c>
      <c r="P28" s="11">
        <v>44492</v>
      </c>
      <c r="Q28" s="15" t="s">
        <v>24</v>
      </c>
      <c r="R28" s="11"/>
      <c r="S28" s="15" t="s">
        <v>26</v>
      </c>
      <c r="T28" s="16">
        <v>25.01</v>
      </c>
      <c r="U28" s="16">
        <v>21.35</v>
      </c>
    </row>
    <row r="29" spans="1:21" x14ac:dyDescent="0.2">
      <c r="A29" s="1">
        <v>28</v>
      </c>
      <c r="B29" s="2"/>
      <c r="C29" s="2" t="s">
        <v>40</v>
      </c>
      <c r="D29" s="1">
        <v>37</v>
      </c>
      <c r="E29" s="3" t="s">
        <v>23</v>
      </c>
      <c r="F29" s="5">
        <v>44648</v>
      </c>
      <c r="G29" s="5">
        <v>44648</v>
      </c>
      <c r="H29" s="5">
        <v>44650</v>
      </c>
      <c r="I29" s="10">
        <v>44650</v>
      </c>
      <c r="J29" s="10">
        <v>44650</v>
      </c>
      <c r="K29" s="1">
        <v>3</v>
      </c>
      <c r="L29" s="1" t="s">
        <v>33</v>
      </c>
      <c r="M29" s="5">
        <f t="shared" si="0"/>
        <v>44613</v>
      </c>
      <c r="N29" s="11">
        <v>44414</v>
      </c>
      <c r="O29" s="15" t="s">
        <v>27</v>
      </c>
      <c r="P29" s="11">
        <v>44434</v>
      </c>
      <c r="Q29" s="15" t="s">
        <v>27</v>
      </c>
      <c r="R29" s="11">
        <v>44613</v>
      </c>
      <c r="S29" s="15" t="s">
        <v>31</v>
      </c>
      <c r="T29" s="16">
        <v>31.72</v>
      </c>
      <c r="U29" s="16">
        <v>29.39</v>
      </c>
    </row>
    <row r="30" spans="1:21" x14ac:dyDescent="0.2">
      <c r="A30" s="1">
        <v>29</v>
      </c>
      <c r="B30" s="2">
        <v>30</v>
      </c>
      <c r="C30" s="2" t="s">
        <v>41</v>
      </c>
      <c r="D30" s="1">
        <v>27</v>
      </c>
      <c r="E30" s="3" t="s">
        <v>23</v>
      </c>
      <c r="F30" s="5">
        <v>44648</v>
      </c>
      <c r="G30" s="5">
        <v>44652</v>
      </c>
      <c r="H30" s="5">
        <v>44652</v>
      </c>
      <c r="I30" s="10">
        <v>44652</v>
      </c>
      <c r="J30" s="10">
        <v>44652</v>
      </c>
      <c r="K30" s="1">
        <v>0</v>
      </c>
      <c r="L30" s="1"/>
      <c r="M30" s="5">
        <f t="shared" si="0"/>
        <v>0</v>
      </c>
      <c r="N30" s="11"/>
      <c r="O30" s="15" t="s">
        <v>26</v>
      </c>
      <c r="P30" s="11"/>
      <c r="Q30" s="15" t="s">
        <v>26</v>
      </c>
      <c r="R30" s="11"/>
      <c r="S30" s="15"/>
      <c r="T30" s="16">
        <v>30</v>
      </c>
      <c r="U30" s="16">
        <v>30.48</v>
      </c>
    </row>
    <row r="31" spans="1:21" x14ac:dyDescent="0.2">
      <c r="A31" s="1">
        <v>30</v>
      </c>
      <c r="B31" s="2"/>
      <c r="C31" s="2" t="s">
        <v>40</v>
      </c>
      <c r="D31" s="1">
        <v>30</v>
      </c>
      <c r="E31" s="3" t="s">
        <v>20</v>
      </c>
      <c r="F31" s="5">
        <v>44646</v>
      </c>
      <c r="G31" s="5">
        <v>44646</v>
      </c>
      <c r="H31" s="5">
        <v>44651</v>
      </c>
      <c r="I31" s="10">
        <v>44651</v>
      </c>
      <c r="J31" s="10">
        <v>44651</v>
      </c>
      <c r="K31" s="1">
        <v>2</v>
      </c>
      <c r="L31" s="1" t="s">
        <v>35</v>
      </c>
      <c r="M31" s="5">
        <f t="shared" si="0"/>
        <v>44419</v>
      </c>
      <c r="N31" s="11">
        <v>44394</v>
      </c>
      <c r="O31" s="15" t="s">
        <v>22</v>
      </c>
      <c r="P31" s="11">
        <v>44419</v>
      </c>
      <c r="Q31" s="15" t="s">
        <v>22</v>
      </c>
      <c r="R31" s="11"/>
      <c r="S31" s="15"/>
      <c r="T31" s="16">
        <v>29.07</v>
      </c>
      <c r="U31" s="16">
        <v>25.89</v>
      </c>
    </row>
    <row r="32" spans="1:21" x14ac:dyDescent="0.2">
      <c r="A32" s="1">
        <v>31</v>
      </c>
      <c r="B32" s="2">
        <v>29</v>
      </c>
      <c r="C32" s="2" t="s">
        <v>41</v>
      </c>
      <c r="D32" s="1">
        <v>51</v>
      </c>
      <c r="E32" s="3" t="s">
        <v>20</v>
      </c>
      <c r="F32" s="5">
        <v>44653.729166666664</v>
      </c>
      <c r="G32" s="5">
        <v>44653.729166666664</v>
      </c>
      <c r="H32" s="5">
        <v>44653</v>
      </c>
      <c r="I32" s="10">
        <v>44653</v>
      </c>
      <c r="J32" s="10">
        <v>44653</v>
      </c>
      <c r="K32" s="1">
        <v>0</v>
      </c>
      <c r="L32" s="1"/>
      <c r="M32" s="5">
        <f t="shared" si="0"/>
        <v>0</v>
      </c>
      <c r="N32" s="11"/>
      <c r="O32" s="15" t="s">
        <v>26</v>
      </c>
      <c r="P32" s="11"/>
      <c r="Q32" s="15" t="s">
        <v>26</v>
      </c>
      <c r="R32" s="11"/>
      <c r="S32" s="15"/>
      <c r="T32" s="16">
        <v>41.77</v>
      </c>
      <c r="U32" s="16">
        <v>36.79</v>
      </c>
    </row>
    <row r="33" spans="1:21" x14ac:dyDescent="0.2">
      <c r="A33" s="1">
        <v>32</v>
      </c>
      <c r="B33" s="2">
        <v>29</v>
      </c>
      <c r="C33" s="2" t="s">
        <v>40</v>
      </c>
      <c r="D33" s="1">
        <v>0.57999999999999996</v>
      </c>
      <c r="E33" s="3" t="s">
        <v>23</v>
      </c>
      <c r="F33" s="5">
        <v>44653.729166666664</v>
      </c>
      <c r="G33" s="5">
        <v>44653.729166666664</v>
      </c>
      <c r="H33" s="5">
        <v>44653</v>
      </c>
      <c r="I33" s="10">
        <v>44653</v>
      </c>
      <c r="J33" s="10">
        <v>44653</v>
      </c>
      <c r="K33" s="1">
        <v>0</v>
      </c>
      <c r="L33" s="1"/>
      <c r="M33" s="5">
        <f t="shared" si="0"/>
        <v>0</v>
      </c>
      <c r="N33" s="11"/>
      <c r="O33" s="15" t="s">
        <v>26</v>
      </c>
      <c r="P33" s="11"/>
      <c r="Q33" s="15" t="s">
        <v>26</v>
      </c>
      <c r="R33" s="11"/>
      <c r="S33" s="15"/>
      <c r="T33" s="16">
        <v>24.58</v>
      </c>
      <c r="U33" s="16">
        <v>22.1</v>
      </c>
    </row>
    <row r="34" spans="1:21" x14ac:dyDescent="0.2">
      <c r="A34" s="1">
        <v>33</v>
      </c>
      <c r="B34" s="2">
        <v>30</v>
      </c>
      <c r="C34" s="2" t="s">
        <v>41</v>
      </c>
      <c r="D34" s="1">
        <v>31</v>
      </c>
      <c r="E34" s="3" t="s">
        <v>23</v>
      </c>
      <c r="F34" s="5">
        <v>44652</v>
      </c>
      <c r="G34" s="5">
        <v>44652</v>
      </c>
      <c r="H34" s="5">
        <v>44654</v>
      </c>
      <c r="I34" s="10">
        <v>44654</v>
      </c>
      <c r="J34" s="10">
        <v>44654</v>
      </c>
      <c r="K34" s="1">
        <v>0</v>
      </c>
      <c r="L34" s="1"/>
      <c r="M34" s="5">
        <f t="shared" si="0"/>
        <v>0</v>
      </c>
      <c r="N34" s="11"/>
      <c r="O34" s="15" t="s">
        <v>26</v>
      </c>
      <c r="P34" s="11"/>
      <c r="Q34" s="15" t="s">
        <v>26</v>
      </c>
      <c r="R34" s="11"/>
      <c r="S34" s="15"/>
      <c r="T34" s="16">
        <v>31.88</v>
      </c>
      <c r="U34" s="16">
        <v>27.92</v>
      </c>
    </row>
    <row r="35" spans="1:21" x14ac:dyDescent="0.2">
      <c r="A35" s="1">
        <v>34</v>
      </c>
      <c r="B35" s="2">
        <v>29</v>
      </c>
      <c r="C35" s="2" t="s">
        <v>40</v>
      </c>
      <c r="D35" s="1">
        <v>28</v>
      </c>
      <c r="E35" s="3" t="s">
        <v>23</v>
      </c>
      <c r="F35" s="5">
        <v>44653.729166666664</v>
      </c>
      <c r="G35" s="5">
        <v>44653.729166666664</v>
      </c>
      <c r="H35" s="5">
        <v>44656</v>
      </c>
      <c r="I35" s="10">
        <v>44656</v>
      </c>
      <c r="J35" s="10">
        <v>44656</v>
      </c>
      <c r="K35" s="1">
        <v>2</v>
      </c>
      <c r="L35" s="1" t="s">
        <v>36</v>
      </c>
      <c r="M35" s="5">
        <f t="shared" si="0"/>
        <v>44371</v>
      </c>
      <c r="N35" s="11">
        <v>44347</v>
      </c>
      <c r="O35" s="15" t="s">
        <v>24</v>
      </c>
      <c r="P35" s="11">
        <v>44371</v>
      </c>
      <c r="Q35" s="15" t="s">
        <v>24</v>
      </c>
      <c r="R35" s="11"/>
      <c r="S35" s="15"/>
      <c r="T35" s="17">
        <v>34.380000000000003</v>
      </c>
      <c r="U35" s="17">
        <v>30.06</v>
      </c>
    </row>
    <row r="36" spans="1:21" x14ac:dyDescent="0.2">
      <c r="A36" s="1">
        <v>35</v>
      </c>
      <c r="B36" s="2">
        <v>30</v>
      </c>
      <c r="C36" s="2" t="s">
        <v>41</v>
      </c>
      <c r="D36" s="1">
        <v>24</v>
      </c>
      <c r="E36" s="3" t="s">
        <v>20</v>
      </c>
      <c r="F36" s="5">
        <v>44648</v>
      </c>
      <c r="G36" s="5">
        <v>44652</v>
      </c>
      <c r="H36" s="5">
        <v>44657</v>
      </c>
      <c r="I36" s="10">
        <v>44657</v>
      </c>
      <c r="J36" s="10">
        <v>44657</v>
      </c>
      <c r="K36" s="1">
        <v>2</v>
      </c>
      <c r="L36" s="1" t="s">
        <v>36</v>
      </c>
      <c r="M36" s="5">
        <f t="shared" si="0"/>
        <v>44371</v>
      </c>
      <c r="N36" s="11">
        <v>44347</v>
      </c>
      <c r="O36" s="15" t="s">
        <v>24</v>
      </c>
      <c r="P36" s="11">
        <v>44371</v>
      </c>
      <c r="Q36" s="15" t="s">
        <v>24</v>
      </c>
      <c r="R36" s="11"/>
      <c r="S36" s="15"/>
      <c r="T36" s="16">
        <v>17.309999999999999</v>
      </c>
      <c r="U36" s="16">
        <v>16.02</v>
      </c>
    </row>
  </sheetData>
  <autoFilter ref="A1:T3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(3)</vt:lpstr>
      <vt:lpstr>Sheet1 (2)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2022-05-20T08:47:16Z</dcterms:modified>
</cp:coreProperties>
</file>