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D:\OneDrive - kanggle\XMU\likangguo\other\github\zhuhai_omicron\data\"/>
    </mc:Choice>
  </mc:AlternateContent>
  <xr:revisionPtr revIDLastSave="0" documentId="13_ncr:1_{BE16DD06-19B5-4533-AE63-D209F9B0DB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Sheet1!$A$1:$P$130</definedName>
    <definedName name="_xlnm._FilterDatabase" localSheetId="1" hidden="1">Sheet2!$A$1:$F$136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0" i="1" l="1"/>
  <c r="P73" i="1"/>
  <c r="P35" i="1"/>
  <c r="P2" i="1"/>
  <c r="P13" i="1"/>
  <c r="P3" i="1"/>
  <c r="P57" i="1"/>
  <c r="P52" i="1"/>
  <c r="P76" i="1"/>
  <c r="P77" i="1"/>
  <c r="P79" i="1"/>
  <c r="P80" i="1"/>
  <c r="P55" i="1"/>
  <c r="P84" i="1"/>
  <c r="P85" i="1"/>
  <c r="P86" i="1"/>
  <c r="P87" i="1"/>
  <c r="P38" i="1"/>
  <c r="P89" i="1"/>
  <c r="P90" i="1"/>
  <c r="P91" i="1"/>
  <c r="P92" i="1"/>
  <c r="P17" i="1"/>
  <c r="P93" i="1"/>
  <c r="P42" i="1"/>
  <c r="P60" i="1"/>
  <c r="P23" i="1"/>
  <c r="P94" i="1"/>
  <c r="P34" i="1"/>
  <c r="P12" i="1"/>
  <c r="P36" i="1"/>
  <c r="P95" i="1"/>
  <c r="P58" i="1"/>
  <c r="P44" i="1"/>
  <c r="P97" i="1"/>
  <c r="P45" i="1"/>
  <c r="P98" i="1"/>
  <c r="P99" i="1"/>
  <c r="P100" i="1"/>
  <c r="P101" i="1"/>
  <c r="P18" i="1"/>
  <c r="P66" i="1"/>
  <c r="P16" i="1"/>
  <c r="P103" i="1"/>
  <c r="P9" i="1"/>
  <c r="P104" i="1"/>
  <c r="P105" i="1"/>
  <c r="P41" i="1"/>
  <c r="P20" i="1"/>
  <c r="P106" i="1"/>
  <c r="P19" i="1"/>
  <c r="P107" i="1"/>
  <c r="P108" i="1"/>
  <c r="P25" i="1"/>
  <c r="P7" i="1"/>
  <c r="P109" i="1"/>
  <c r="P110" i="1"/>
  <c r="P111" i="1"/>
  <c r="P29" i="1"/>
  <c r="P47" i="1"/>
  <c r="P112" i="1"/>
  <c r="P113" i="1"/>
  <c r="P114" i="1"/>
  <c r="P43" i="1"/>
  <c r="P8" i="1"/>
  <c r="P67" i="1"/>
  <c r="P68" i="1"/>
  <c r="P53" i="1"/>
  <c r="P115" i="1"/>
  <c r="P116" i="1"/>
  <c r="P69" i="1"/>
  <c r="P70" i="1"/>
  <c r="P118" i="1"/>
  <c r="P119" i="1"/>
  <c r="P120" i="1"/>
  <c r="P15" i="1"/>
  <c r="P64" i="1"/>
  <c r="P121" i="1"/>
  <c r="P62" i="1"/>
  <c r="P122" i="1"/>
  <c r="P123" i="1"/>
  <c r="P32" i="1"/>
  <c r="P63" i="1"/>
  <c r="P124" i="1"/>
  <c r="P24" i="1"/>
  <c r="P28" i="1"/>
  <c r="P10" i="1"/>
  <c r="P125" i="1"/>
  <c r="P11" i="1"/>
  <c r="P31" i="1"/>
  <c r="P126" i="1"/>
  <c r="P129" i="1"/>
  <c r="P33" i="1"/>
  <c r="P130" i="1"/>
  <c r="O30" i="1"/>
  <c r="O73" i="1"/>
  <c r="O35" i="1"/>
  <c r="O2" i="1"/>
  <c r="O13" i="1"/>
  <c r="O3" i="1"/>
  <c r="O57" i="1"/>
  <c r="O52" i="1"/>
  <c r="O76" i="1"/>
  <c r="O77" i="1"/>
  <c r="O79" i="1"/>
  <c r="O80" i="1"/>
  <c r="O55" i="1"/>
  <c r="O84" i="1"/>
  <c r="O85" i="1"/>
  <c r="O86" i="1"/>
  <c r="O87" i="1"/>
  <c r="O38" i="1"/>
  <c r="O89" i="1"/>
  <c r="O90" i="1"/>
  <c r="O91" i="1"/>
  <c r="O92" i="1"/>
  <c r="O17" i="1"/>
  <c r="O93" i="1"/>
  <c r="O42" i="1"/>
  <c r="O60" i="1"/>
  <c r="O23" i="1"/>
  <c r="O94" i="1"/>
  <c r="O34" i="1"/>
  <c r="O12" i="1"/>
  <c r="O36" i="1"/>
  <c r="O95" i="1"/>
  <c r="O58" i="1"/>
  <c r="O44" i="1"/>
  <c r="O97" i="1"/>
  <c r="O45" i="1"/>
  <c r="O98" i="1"/>
  <c r="O99" i="1"/>
  <c r="O100" i="1"/>
  <c r="O101" i="1"/>
  <c r="O18" i="1"/>
  <c r="O66" i="1"/>
  <c r="O16" i="1"/>
  <c r="O103" i="1"/>
  <c r="O9" i="1"/>
  <c r="O104" i="1"/>
  <c r="O105" i="1"/>
  <c r="O41" i="1"/>
  <c r="O20" i="1"/>
  <c r="O106" i="1"/>
  <c r="O19" i="1"/>
  <c r="O107" i="1"/>
  <c r="O108" i="1"/>
  <c r="O25" i="1"/>
  <c r="O7" i="1"/>
  <c r="O109" i="1"/>
  <c r="O110" i="1"/>
  <c r="O111" i="1"/>
  <c r="O29" i="1"/>
  <c r="O47" i="1"/>
  <c r="O112" i="1"/>
  <c r="O113" i="1"/>
  <c r="O114" i="1"/>
  <c r="O43" i="1"/>
  <c r="O8" i="1"/>
  <c r="O67" i="1"/>
  <c r="O68" i="1"/>
  <c r="O53" i="1"/>
  <c r="O115" i="1"/>
  <c r="O116" i="1"/>
  <c r="O69" i="1"/>
  <c r="O70" i="1"/>
  <c r="O118" i="1"/>
  <c r="O119" i="1"/>
  <c r="O120" i="1"/>
  <c r="O15" i="1"/>
  <c r="O64" i="1"/>
  <c r="O121" i="1"/>
  <c r="O62" i="1"/>
  <c r="O122" i="1"/>
  <c r="O123" i="1"/>
  <c r="O32" i="1"/>
  <c r="O63" i="1"/>
  <c r="O124" i="1"/>
  <c r="O24" i="1"/>
  <c r="O28" i="1"/>
  <c r="O10" i="1"/>
  <c r="O125" i="1"/>
  <c r="O11" i="1"/>
  <c r="O31" i="1"/>
  <c r="O126" i="1"/>
  <c r="O129" i="1"/>
  <c r="O33" i="1"/>
  <c r="O130" i="1"/>
</calcChain>
</file>

<file path=xl/sharedStrings.xml><?xml version="1.0" encoding="utf-8"?>
<sst xmlns="http://schemas.openxmlformats.org/spreadsheetml/2006/main" count="813" uniqueCount="200">
  <si>
    <t>id</t>
    <phoneticPr fontId="2" type="noConversion"/>
  </si>
  <si>
    <t>age</t>
    <phoneticPr fontId="2" type="noConversion"/>
  </si>
  <si>
    <t>type</t>
    <phoneticPr fontId="2" type="noConversion"/>
  </si>
  <si>
    <t>datereport</t>
    <phoneticPr fontId="2" type="noConversion"/>
  </si>
  <si>
    <t>vaccine</t>
    <phoneticPr fontId="2" type="noConversion"/>
  </si>
  <si>
    <t>vaccinelastdate</t>
    <phoneticPr fontId="2" type="noConversion"/>
  </si>
  <si>
    <t>Asymptomatic</t>
  </si>
  <si>
    <t>Moderate</t>
    <phoneticPr fontId="2" type="noConversion"/>
  </si>
  <si>
    <t>Mild</t>
    <phoneticPr fontId="2" type="noConversion"/>
  </si>
  <si>
    <t>Server</t>
    <phoneticPr fontId="2" type="noConversion"/>
  </si>
  <si>
    <t>dateonset</t>
    <phoneticPr fontId="2" type="noConversion"/>
  </si>
  <si>
    <t>序号</t>
  </si>
  <si>
    <t>姓名</t>
  </si>
  <si>
    <t>周晓晶</t>
    <phoneticPr fontId="2" type="noConversion"/>
  </si>
  <si>
    <t>罗宇轩</t>
  </si>
  <si>
    <t>杨小玲</t>
  </si>
  <si>
    <t>刘阳</t>
  </si>
  <si>
    <t>李锦昊</t>
  </si>
  <si>
    <t>沈朝霞</t>
  </si>
  <si>
    <t>杨文俊</t>
  </si>
  <si>
    <t>曾娟</t>
  </si>
  <si>
    <t>蔡雪霞</t>
  </si>
  <si>
    <t>沈招安</t>
  </si>
  <si>
    <t>龙思雨</t>
  </si>
  <si>
    <t>曾媛</t>
  </si>
  <si>
    <t>言睿麒</t>
  </si>
  <si>
    <t>言苇麟</t>
  </si>
  <si>
    <t>唐江</t>
  </si>
  <si>
    <t>张燕玲</t>
  </si>
  <si>
    <t>欧珍</t>
  </si>
  <si>
    <t>邓集晖</t>
  </si>
  <si>
    <t>江双凤</t>
  </si>
  <si>
    <t>黄丽君</t>
  </si>
  <si>
    <t>言艾轩</t>
  </si>
  <si>
    <t>沈东宇</t>
  </si>
  <si>
    <t>沈思齐</t>
  </si>
  <si>
    <t>杨立军</t>
  </si>
  <si>
    <t>方迎</t>
  </si>
  <si>
    <t>石红春</t>
    <phoneticPr fontId="2" type="noConversion"/>
  </si>
  <si>
    <t>孙莉</t>
  </si>
  <si>
    <t>张蔷薇</t>
  </si>
  <si>
    <t>张珈睿</t>
  </si>
  <si>
    <t>肖云熙</t>
    <phoneticPr fontId="2" type="noConversion"/>
  </si>
  <si>
    <t>谭博友</t>
    <phoneticPr fontId="2" type="noConversion"/>
  </si>
  <si>
    <t>何乐高</t>
    <phoneticPr fontId="2" type="noConversion"/>
  </si>
  <si>
    <t>刘巧可</t>
    <phoneticPr fontId="2" type="noConversion"/>
  </si>
  <si>
    <t>刘若镜</t>
    <phoneticPr fontId="2" type="noConversion"/>
  </si>
  <si>
    <t>刘建宜</t>
    <phoneticPr fontId="2" type="noConversion"/>
  </si>
  <si>
    <t>胡满玉</t>
  </si>
  <si>
    <t>胡银华</t>
    <phoneticPr fontId="2" type="noConversion"/>
  </si>
  <si>
    <t>王凯成</t>
    <phoneticPr fontId="2" type="noConversion"/>
  </si>
  <si>
    <t>田蕾</t>
  </si>
  <si>
    <t>刘楹子</t>
  </si>
  <si>
    <t>文双</t>
    <phoneticPr fontId="2" type="noConversion"/>
  </si>
  <si>
    <t>言志武</t>
    <phoneticPr fontId="2" type="noConversion"/>
  </si>
  <si>
    <t>言姿靓</t>
    <phoneticPr fontId="2" type="noConversion"/>
  </si>
  <si>
    <t>陈超录</t>
  </si>
  <si>
    <t>杨小庆</t>
  </si>
  <si>
    <t>谭永其</t>
    <phoneticPr fontId="2" type="noConversion"/>
  </si>
  <si>
    <t>曾建辉</t>
  </si>
  <si>
    <t>言星辰</t>
    <phoneticPr fontId="2" type="noConversion"/>
  </si>
  <si>
    <t>钟小春</t>
  </si>
  <si>
    <t>刘洋声</t>
    <phoneticPr fontId="2" type="noConversion"/>
  </si>
  <si>
    <t>曾力</t>
  </si>
  <si>
    <t>曾妙颖</t>
  </si>
  <si>
    <t>刘建新</t>
  </si>
  <si>
    <t>蔡新华</t>
    <phoneticPr fontId="2" type="noConversion"/>
  </si>
  <si>
    <t>甘敏才</t>
  </si>
  <si>
    <t>刘萧剑</t>
  </si>
  <si>
    <t>刘建立</t>
  </si>
  <si>
    <t>文芳</t>
    <phoneticPr fontId="2" type="noConversion"/>
  </si>
  <si>
    <t>谭皓文</t>
    <phoneticPr fontId="2" type="noConversion"/>
  </si>
  <si>
    <t>刘念</t>
  </si>
  <si>
    <t>向彩绒</t>
  </si>
  <si>
    <t>赵惠</t>
  </si>
  <si>
    <t>许曼</t>
  </si>
  <si>
    <t>李冰冰</t>
  </si>
  <si>
    <t>熊冬智</t>
  </si>
  <si>
    <t>宋慧琳</t>
    <phoneticPr fontId="2" type="noConversion"/>
  </si>
  <si>
    <t>言鼎</t>
    <phoneticPr fontId="2" type="noConversion"/>
  </si>
  <si>
    <t>言建辉</t>
    <phoneticPr fontId="2" type="noConversion"/>
  </si>
  <si>
    <t>李孟寅</t>
    <phoneticPr fontId="2" type="noConversion"/>
  </si>
  <si>
    <t>黄冠</t>
  </si>
  <si>
    <t>吴花平</t>
  </si>
  <si>
    <t>张悦翔</t>
  </si>
  <si>
    <t>黄云竹</t>
    <phoneticPr fontId="2" type="noConversion"/>
  </si>
  <si>
    <t>沈进军</t>
  </si>
  <si>
    <t>言思嘉</t>
  </si>
  <si>
    <t>吴先清</t>
  </si>
  <si>
    <t>周旸</t>
  </si>
  <si>
    <t>屈国胜</t>
  </si>
  <si>
    <t>毛国寿</t>
  </si>
  <si>
    <t>张恒</t>
  </si>
  <si>
    <t>周志红</t>
  </si>
  <si>
    <t>向金玲</t>
  </si>
  <si>
    <t>代注英</t>
  </si>
  <si>
    <t>张鹏</t>
  </si>
  <si>
    <t>罗贯宇</t>
  </si>
  <si>
    <t>胡晓丹</t>
  </si>
  <si>
    <t>魏云龙</t>
  </si>
  <si>
    <t>张金良</t>
  </si>
  <si>
    <t>程香兰</t>
  </si>
  <si>
    <t>伍春香</t>
    <phoneticPr fontId="2" type="noConversion"/>
  </si>
  <si>
    <t>宋耀敏</t>
  </si>
  <si>
    <t>言真</t>
  </si>
  <si>
    <t>王志君</t>
  </si>
  <si>
    <t>李新春</t>
  </si>
  <si>
    <t>张翠英</t>
  </si>
  <si>
    <t>李金霞</t>
  </si>
  <si>
    <t>汤治全</t>
  </si>
  <si>
    <t>赵英</t>
  </si>
  <si>
    <t>向馨悦</t>
  </si>
  <si>
    <t>张世明</t>
  </si>
  <si>
    <t>汤思琪</t>
  </si>
  <si>
    <t>罗冬梅</t>
  </si>
  <si>
    <t>廖海林</t>
  </si>
  <si>
    <t>吴裕麟</t>
  </si>
  <si>
    <t>吴宗刚</t>
  </si>
  <si>
    <t>龚锦海</t>
  </si>
  <si>
    <t>李新建</t>
  </si>
  <si>
    <t>熊仁香</t>
  </si>
  <si>
    <t>屈红春</t>
  </si>
  <si>
    <t>向慧玲</t>
  </si>
  <si>
    <t>胡奇锋</t>
  </si>
  <si>
    <t>陈胜清</t>
  </si>
  <si>
    <t>赵凤莲</t>
  </si>
  <si>
    <t>田烜任</t>
    <phoneticPr fontId="2" type="noConversion"/>
  </si>
  <si>
    <t>田开松</t>
  </si>
  <si>
    <t>龙丽</t>
  </si>
  <si>
    <t>代注佳</t>
  </si>
  <si>
    <t>田际寿</t>
    <phoneticPr fontId="2" type="noConversion"/>
  </si>
  <si>
    <t>李升发</t>
    <phoneticPr fontId="2" type="noConversion"/>
  </si>
  <si>
    <t>王悦</t>
    <phoneticPr fontId="2" type="noConversion"/>
  </si>
  <si>
    <t>李声桃</t>
  </si>
  <si>
    <t>黄桂英</t>
  </si>
  <si>
    <t>张曦晨</t>
  </si>
  <si>
    <t>李如英</t>
  </si>
  <si>
    <t>李梓豪</t>
    <phoneticPr fontId="2" type="noConversion"/>
  </si>
  <si>
    <t>朱秀明</t>
  </si>
  <si>
    <t>赵兴华</t>
    <phoneticPr fontId="2" type="noConversion"/>
  </si>
  <si>
    <t>曹译丹</t>
    <phoneticPr fontId="2" type="noConversion"/>
  </si>
  <si>
    <t>感染来源</t>
  </si>
  <si>
    <t>刘某果</t>
  </si>
  <si>
    <t>石红春</t>
  </si>
  <si>
    <t>谭永其</t>
  </si>
  <si>
    <t>宋慧琳</t>
  </si>
  <si>
    <t>黄云竹</t>
  </si>
  <si>
    <t>王凯成</t>
  </si>
  <si>
    <t>李林</t>
  </si>
  <si>
    <t>田际寿</t>
  </si>
  <si>
    <t>曾娟</t>
    <phoneticPr fontId="2" type="noConversion"/>
  </si>
  <si>
    <t>张金良</t>
    <phoneticPr fontId="2" type="noConversion"/>
  </si>
  <si>
    <t>胡满玉</t>
    <phoneticPr fontId="2" type="noConversion"/>
  </si>
  <si>
    <t>向金玲</t>
    <phoneticPr fontId="2" type="noConversion"/>
  </si>
  <si>
    <t>程香兰</t>
    <phoneticPr fontId="2" type="noConversion"/>
  </si>
  <si>
    <t>李林</t>
    <phoneticPr fontId="2" type="noConversion"/>
  </si>
  <si>
    <t>李冰冰</t>
    <phoneticPr fontId="2" type="noConversion"/>
  </si>
  <si>
    <t>许曼</t>
    <phoneticPr fontId="2" type="noConversion"/>
  </si>
  <si>
    <t>张世民</t>
    <phoneticPr fontId="2" type="noConversion"/>
  </si>
  <si>
    <t>李金霞</t>
    <phoneticPr fontId="2" type="noConversion"/>
  </si>
  <si>
    <t>龚锦海</t>
    <phoneticPr fontId="2" type="noConversion"/>
  </si>
  <si>
    <t>屈红春</t>
    <phoneticPr fontId="2" type="noConversion"/>
  </si>
  <si>
    <t>曾力</t>
    <phoneticPr fontId="2" type="noConversion"/>
  </si>
  <si>
    <t>datepositive</t>
    <phoneticPr fontId="2" type="noConversion"/>
  </si>
  <si>
    <t>dateexpose1</t>
  </si>
  <si>
    <t>dateexpose2</t>
    <phoneticPr fontId="2" type="noConversion"/>
  </si>
  <si>
    <t>gender</t>
    <phoneticPr fontId="2" type="noConversion"/>
  </si>
  <si>
    <t>Male</t>
  </si>
  <si>
    <t>Female</t>
  </si>
  <si>
    <t>vaccine_type</t>
    <phoneticPr fontId="2" type="noConversion"/>
  </si>
  <si>
    <t>location1</t>
    <phoneticPr fontId="2" type="noConversion"/>
  </si>
  <si>
    <t>location2</t>
  </si>
  <si>
    <t>常德</t>
  </si>
  <si>
    <t>武陵区</t>
  </si>
  <si>
    <t>长沙</t>
  </si>
  <si>
    <t>宁乡市</t>
  </si>
  <si>
    <t>张家界</t>
  </si>
  <si>
    <t>永定区</t>
  </si>
  <si>
    <t>安乡县</t>
  </si>
  <si>
    <t>株洲</t>
  </si>
  <si>
    <t>石峰区</t>
  </si>
  <si>
    <t>益阳</t>
  </si>
  <si>
    <t>赫山区</t>
  </si>
  <si>
    <t>湘潭</t>
  </si>
  <si>
    <t>雨湖区</t>
  </si>
  <si>
    <t>湘西</t>
  </si>
  <si>
    <t>古丈县</t>
  </si>
  <si>
    <t>天心区</t>
  </si>
  <si>
    <t>云龙区</t>
  </si>
  <si>
    <t>荷塘区</t>
  </si>
  <si>
    <t>桑植县</t>
  </si>
  <si>
    <t>慈利县</t>
  </si>
  <si>
    <t>Throat_O</t>
  </si>
  <si>
    <t>Throat_N</t>
  </si>
  <si>
    <t>Sinopharm</t>
    <phoneticPr fontId="2" type="noConversion"/>
  </si>
  <si>
    <t>Combind</t>
    <phoneticPr fontId="2" type="noConversion"/>
  </si>
  <si>
    <t>Sinovac</t>
    <phoneticPr fontId="2" type="noConversion"/>
  </si>
  <si>
    <t>Zhifei</t>
    <phoneticPr fontId="2" type="noConversion"/>
  </si>
  <si>
    <t>N</t>
    <phoneticPr fontId="2" type="noConversion"/>
  </si>
  <si>
    <t>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</si>
</sst>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\ h:mm;@"/>
    <numFmt numFmtId="177" formatCode="0_);[Red]\(0\)"/>
    <numFmt numFmtId="178" formatCode="0.00_);[Red]\(0.00\)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4" fontId="0" fillId="0" borderId="0" xfId="0" applyNumberFormat="1"/>
    <xf numFmtId="14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0" borderId="3" xfId="0" applyBorder="1"/>
    <xf numFmtId="0" fontId="0" fillId="3" borderId="1" xfId="0" applyFill="1" applyBorder="1"/>
    <xf numFmtId="0" fontId="0" fillId="4" borderId="1" xfId="0" applyFill="1" applyBorder="1" applyAlignment="1">
      <alignment wrapText="1"/>
    </xf>
    <xf numFmtId="0" fontId="0" fillId="6" borderId="1" xfId="0" applyFill="1" applyBorder="1"/>
    <xf numFmtId="0" fontId="0" fillId="0" borderId="0" xfId="0" applyAlignment="1">
      <alignment horizontal="center"/>
    </xf>
    <xf numFmtId="0" fontId="1" fillId="0" borderId="4" xfId="0" applyFont="1" applyFill="1" applyBorder="1" applyAlignment="1">
      <alignment vertical="center" wrapText="1"/>
    </xf>
    <xf numFmtId="178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3"/>
  <sheetViews>
    <sheetView tabSelected="1" workbookViewId="0">
      <pane ySplit="1" topLeftCell="A2" activePane="bottomLeft" state="frozen"/>
      <selection pane="bottomLeft" activeCell="N2" sqref="N2"/>
    </sheetView>
  </sheetViews>
  <sheetFormatPr defaultRowHeight="14.25" x14ac:dyDescent="0.2"/>
  <cols>
    <col min="2" max="2" width="16.125" customWidth="1"/>
    <col min="4" max="6" width="15.5" customWidth="1"/>
    <col min="7" max="8" width="15" style="10" customWidth="1"/>
    <col min="9" max="11" width="15" customWidth="1"/>
    <col min="13" max="13" width="13.5" customWidth="1"/>
    <col min="14" max="14" width="14.875" style="10" customWidth="1"/>
  </cols>
  <sheetData>
    <row r="1" spans="1:16" x14ac:dyDescent="0.2">
      <c r="A1" s="1" t="s">
        <v>0</v>
      </c>
      <c r="B1" s="1" t="s">
        <v>166</v>
      </c>
      <c r="C1" s="2" t="s">
        <v>1</v>
      </c>
      <c r="D1" s="3" t="s">
        <v>2</v>
      </c>
      <c r="E1" t="s">
        <v>170</v>
      </c>
      <c r="F1" t="s">
        <v>171</v>
      </c>
      <c r="G1" s="6" t="s">
        <v>164</v>
      </c>
      <c r="H1" s="6" t="s">
        <v>165</v>
      </c>
      <c r="I1" s="4" t="s">
        <v>10</v>
      </c>
      <c r="J1" s="5" t="s">
        <v>163</v>
      </c>
      <c r="K1" s="5" t="s">
        <v>3</v>
      </c>
      <c r="L1" s="1" t="s">
        <v>4</v>
      </c>
      <c r="M1" s="1" t="s">
        <v>169</v>
      </c>
      <c r="N1" s="11" t="s">
        <v>5</v>
      </c>
      <c r="O1" t="s">
        <v>192</v>
      </c>
      <c r="P1" t="s">
        <v>193</v>
      </c>
    </row>
    <row r="2" spans="1:16" x14ac:dyDescent="0.2">
      <c r="A2">
        <v>9</v>
      </c>
      <c r="B2" s="28" t="s">
        <v>168</v>
      </c>
      <c r="C2">
        <v>65</v>
      </c>
      <c r="D2" s="3" t="s">
        <v>6</v>
      </c>
      <c r="E2" s="3" t="s">
        <v>181</v>
      </c>
      <c r="F2" s="3" t="s">
        <v>182</v>
      </c>
      <c r="G2" s="8">
        <v>44400</v>
      </c>
      <c r="H2" s="8">
        <v>44400</v>
      </c>
      <c r="I2" s="8">
        <v>44406</v>
      </c>
      <c r="J2" s="8">
        <v>44406</v>
      </c>
      <c r="K2" s="8">
        <v>44406</v>
      </c>
      <c r="L2" s="9">
        <v>1</v>
      </c>
      <c r="M2" s="9"/>
      <c r="N2" s="8">
        <v>44405</v>
      </c>
      <c r="O2">
        <f>VLOOKUP(A2,Sheet2!C10:F144,4,FALSE)</f>
        <v>23.61</v>
      </c>
      <c r="P2">
        <f>VLOOKUP(A2,Sheet2!C10:F144,4,FALSE)</f>
        <v>23.61</v>
      </c>
    </row>
    <row r="3" spans="1:16" x14ac:dyDescent="0.2">
      <c r="A3">
        <v>17</v>
      </c>
      <c r="B3" s="28" t="s">
        <v>168</v>
      </c>
      <c r="C3">
        <v>36</v>
      </c>
      <c r="D3" s="3" t="s">
        <v>7</v>
      </c>
      <c r="E3" s="3" t="s">
        <v>176</v>
      </c>
      <c r="F3" s="3" t="s">
        <v>177</v>
      </c>
      <c r="G3" s="8">
        <v>44401</v>
      </c>
      <c r="H3" s="8">
        <v>44401</v>
      </c>
      <c r="I3" s="8">
        <v>44406</v>
      </c>
      <c r="J3" s="8">
        <v>44407</v>
      </c>
      <c r="K3" s="8">
        <v>44407</v>
      </c>
      <c r="L3" s="9">
        <v>1</v>
      </c>
      <c r="M3" s="9"/>
      <c r="N3" s="8">
        <v>44405</v>
      </c>
      <c r="O3">
        <f>VLOOKUP(A3,Sheet2!C18:F152,4,FALSE)</f>
        <v>21</v>
      </c>
      <c r="P3">
        <f>VLOOKUP(A3,Sheet2!C18:F152,4,FALSE)</f>
        <v>21</v>
      </c>
    </row>
    <row r="4" spans="1:16" x14ac:dyDescent="0.2">
      <c r="A4">
        <v>40</v>
      </c>
      <c r="B4" s="28" t="s">
        <v>168</v>
      </c>
      <c r="C4">
        <v>34</v>
      </c>
      <c r="D4" s="3" t="s">
        <v>6</v>
      </c>
      <c r="E4" s="3" t="s">
        <v>174</v>
      </c>
      <c r="F4" s="3" t="s">
        <v>187</v>
      </c>
      <c r="G4" s="8">
        <v>44402</v>
      </c>
      <c r="H4" s="8">
        <v>44402</v>
      </c>
      <c r="I4" s="8">
        <v>44409</v>
      </c>
      <c r="J4" s="8">
        <v>44409</v>
      </c>
      <c r="K4" s="8">
        <v>44409</v>
      </c>
      <c r="L4" s="9">
        <v>1</v>
      </c>
      <c r="M4" s="9" t="s">
        <v>196</v>
      </c>
      <c r="N4" s="8">
        <v>44404</v>
      </c>
    </row>
    <row r="5" spans="1:16" x14ac:dyDescent="0.2">
      <c r="A5">
        <v>47</v>
      </c>
      <c r="B5" s="28" t="s">
        <v>168</v>
      </c>
      <c r="C5">
        <v>59</v>
      </c>
      <c r="D5" s="3" t="s">
        <v>7</v>
      </c>
      <c r="E5" s="3" t="s">
        <v>183</v>
      </c>
      <c r="F5" s="3" t="s">
        <v>184</v>
      </c>
      <c r="G5" s="8">
        <v>44401</v>
      </c>
      <c r="H5" s="8">
        <v>44401</v>
      </c>
      <c r="I5" s="8">
        <v>44407</v>
      </c>
      <c r="J5" s="8">
        <v>44410</v>
      </c>
      <c r="K5" s="8">
        <v>44410</v>
      </c>
      <c r="L5" s="9">
        <v>1</v>
      </c>
      <c r="M5" s="9" t="s">
        <v>196</v>
      </c>
      <c r="N5" s="8">
        <v>44403</v>
      </c>
    </row>
    <row r="6" spans="1:16" x14ac:dyDescent="0.2">
      <c r="A6">
        <v>3</v>
      </c>
      <c r="B6" s="28" t="s">
        <v>168</v>
      </c>
      <c r="C6">
        <v>38</v>
      </c>
      <c r="D6" s="3" t="s">
        <v>7</v>
      </c>
      <c r="E6" s="3" t="s">
        <v>176</v>
      </c>
      <c r="F6" s="3" t="s">
        <v>177</v>
      </c>
      <c r="G6" s="8">
        <v>44399</v>
      </c>
      <c r="H6" s="8">
        <v>44399</v>
      </c>
      <c r="I6" s="8">
        <v>44399</v>
      </c>
      <c r="J6" s="8">
        <v>44406</v>
      </c>
      <c r="K6" s="8">
        <v>44406</v>
      </c>
      <c r="L6" s="9">
        <v>1</v>
      </c>
      <c r="M6" s="9" t="s">
        <v>195</v>
      </c>
      <c r="N6" s="8">
        <v>44399</v>
      </c>
    </row>
    <row r="7" spans="1:16" x14ac:dyDescent="0.2">
      <c r="A7">
        <v>83</v>
      </c>
      <c r="B7" s="28" t="s">
        <v>168</v>
      </c>
      <c r="C7">
        <v>28</v>
      </c>
      <c r="D7" s="3" t="s">
        <v>7</v>
      </c>
      <c r="E7" s="3" t="s">
        <v>176</v>
      </c>
      <c r="F7" s="3" t="s">
        <v>177</v>
      </c>
      <c r="G7" s="8">
        <v>44405</v>
      </c>
      <c r="H7" s="8">
        <v>44405</v>
      </c>
      <c r="I7" s="8">
        <v>44410</v>
      </c>
      <c r="J7" s="8">
        <v>44413</v>
      </c>
      <c r="K7" s="8">
        <v>44413</v>
      </c>
      <c r="L7" s="7">
        <v>0</v>
      </c>
      <c r="M7" s="7" t="s">
        <v>194</v>
      </c>
      <c r="N7" s="8">
        <v>44405</v>
      </c>
      <c r="O7">
        <f>VLOOKUP(A7,Sheet2!C84:F218,4,FALSE)</f>
        <v>19.07</v>
      </c>
      <c r="P7">
        <f>VLOOKUP(A7,Sheet2!C84:F218,4,FALSE)</f>
        <v>19.07</v>
      </c>
    </row>
    <row r="8" spans="1:16" x14ac:dyDescent="0.2">
      <c r="A8">
        <v>94</v>
      </c>
      <c r="B8" s="28" t="s">
        <v>168</v>
      </c>
      <c r="C8">
        <v>39</v>
      </c>
      <c r="D8" s="3" t="s">
        <v>7</v>
      </c>
      <c r="E8" s="3" t="s">
        <v>176</v>
      </c>
      <c r="F8" s="3" t="s">
        <v>177</v>
      </c>
      <c r="G8" s="8"/>
      <c r="H8" s="8"/>
      <c r="I8" s="8">
        <v>44415</v>
      </c>
      <c r="J8" s="8">
        <v>44416</v>
      </c>
      <c r="K8" s="8">
        <v>44416</v>
      </c>
      <c r="L8" s="7">
        <v>0</v>
      </c>
      <c r="M8" s="7" t="s">
        <v>196</v>
      </c>
      <c r="N8" s="8">
        <v>44404</v>
      </c>
      <c r="O8">
        <f>VLOOKUP(A8,Sheet2!C95:F229,4,FALSE)</f>
        <v>25.58</v>
      </c>
      <c r="P8">
        <f>VLOOKUP(A8,Sheet2!C95:F229,4,FALSE)</f>
        <v>25.58</v>
      </c>
    </row>
    <row r="9" spans="1:16" x14ac:dyDescent="0.2">
      <c r="A9">
        <v>73</v>
      </c>
      <c r="B9" s="28" t="s">
        <v>168</v>
      </c>
      <c r="C9">
        <v>47</v>
      </c>
      <c r="D9" s="3" t="s">
        <v>8</v>
      </c>
      <c r="E9" s="3" t="s">
        <v>179</v>
      </c>
      <c r="F9" s="3" t="s">
        <v>189</v>
      </c>
      <c r="G9" s="8">
        <v>44404</v>
      </c>
      <c r="H9" s="8">
        <v>44404</v>
      </c>
      <c r="I9" s="8">
        <v>44412</v>
      </c>
      <c r="J9" s="8">
        <v>44412</v>
      </c>
      <c r="K9" s="8">
        <v>44412</v>
      </c>
      <c r="L9" s="9">
        <v>1</v>
      </c>
      <c r="M9" s="9" t="s">
        <v>196</v>
      </c>
      <c r="N9" s="8">
        <v>44399</v>
      </c>
      <c r="O9">
        <f>VLOOKUP(A9,Sheet2!C74:F208,4,FALSE)</f>
        <v>29.2</v>
      </c>
      <c r="P9">
        <f>VLOOKUP(A9,Sheet2!C74:F208,4,FALSE)</f>
        <v>29.2</v>
      </c>
    </row>
    <row r="10" spans="1:16" x14ac:dyDescent="0.2">
      <c r="A10">
        <v>118</v>
      </c>
      <c r="B10" s="28" t="s">
        <v>168</v>
      </c>
      <c r="C10">
        <v>22</v>
      </c>
      <c r="D10" s="3" t="s">
        <v>7</v>
      </c>
      <c r="E10" s="3" t="s">
        <v>176</v>
      </c>
      <c r="F10" s="3" t="s">
        <v>177</v>
      </c>
      <c r="G10" s="8"/>
      <c r="H10" s="8"/>
      <c r="I10" s="8">
        <v>44419</v>
      </c>
      <c r="J10" s="8">
        <v>44419</v>
      </c>
      <c r="K10" s="8">
        <v>44419</v>
      </c>
      <c r="L10" s="7">
        <v>1</v>
      </c>
      <c r="M10" s="7" t="s">
        <v>196</v>
      </c>
      <c r="N10" s="8">
        <v>44405</v>
      </c>
      <c r="O10">
        <f>VLOOKUP(A10,Sheet2!C119:F253,4,FALSE)</f>
        <v>25.07</v>
      </c>
      <c r="P10">
        <f>VLOOKUP(A10,Sheet2!C119:F253,4,FALSE)</f>
        <v>25.07</v>
      </c>
    </row>
    <row r="11" spans="1:16" x14ac:dyDescent="0.2">
      <c r="A11">
        <v>120</v>
      </c>
      <c r="B11" s="28" t="s">
        <v>167</v>
      </c>
      <c r="C11">
        <v>59</v>
      </c>
      <c r="D11" s="3" t="s">
        <v>7</v>
      </c>
      <c r="E11" s="3" t="s">
        <v>176</v>
      </c>
      <c r="F11" s="3" t="s">
        <v>177</v>
      </c>
      <c r="G11" s="8"/>
      <c r="H11" s="8"/>
      <c r="I11" s="8">
        <v>44419</v>
      </c>
      <c r="J11" s="8">
        <v>44419</v>
      </c>
      <c r="K11" s="8">
        <v>44419</v>
      </c>
      <c r="L11" s="7">
        <v>1</v>
      </c>
      <c r="M11" s="7" t="s">
        <v>196</v>
      </c>
      <c r="N11" s="8">
        <v>44405</v>
      </c>
      <c r="O11">
        <f>VLOOKUP(A11,Sheet2!C121:F255,4,FALSE)</f>
        <v>16.739999999999998</v>
      </c>
      <c r="P11">
        <f>VLOOKUP(A11,Sheet2!C121:F255,4,FALSE)</f>
        <v>16.739999999999998</v>
      </c>
    </row>
    <row r="12" spans="1:16" x14ac:dyDescent="0.2">
      <c r="A12">
        <v>54</v>
      </c>
      <c r="B12" s="28" t="s">
        <v>167</v>
      </c>
      <c r="C12">
        <v>53</v>
      </c>
      <c r="D12" s="3" t="s">
        <v>6</v>
      </c>
      <c r="E12" s="3" t="s">
        <v>181</v>
      </c>
      <c r="F12" s="3" t="s">
        <v>182</v>
      </c>
      <c r="G12" s="8">
        <v>44401</v>
      </c>
      <c r="H12" s="8">
        <v>44401</v>
      </c>
      <c r="I12" s="8">
        <v>44410</v>
      </c>
      <c r="J12" s="8">
        <v>44411</v>
      </c>
      <c r="K12" s="8">
        <v>44411</v>
      </c>
      <c r="L12" s="9">
        <v>2</v>
      </c>
      <c r="M12" s="9" t="s">
        <v>197</v>
      </c>
      <c r="N12" s="8">
        <v>44397</v>
      </c>
      <c r="O12">
        <f>VLOOKUP(A12,Sheet2!C55:F189,4,FALSE)</f>
        <v>32.03</v>
      </c>
      <c r="P12">
        <f>VLOOKUP(A12,Sheet2!C55:F189,4,FALSE)</f>
        <v>32.03</v>
      </c>
    </row>
    <row r="13" spans="1:16" x14ac:dyDescent="0.2">
      <c r="A13">
        <v>11</v>
      </c>
      <c r="B13" s="28" t="s">
        <v>168</v>
      </c>
      <c r="C13">
        <v>29</v>
      </c>
      <c r="D13" s="3" t="s">
        <v>8</v>
      </c>
      <c r="E13" s="3" t="s">
        <v>179</v>
      </c>
      <c r="F13" s="3" t="s">
        <v>180</v>
      </c>
      <c r="G13" s="8">
        <v>44401</v>
      </c>
      <c r="H13" s="8">
        <v>44401</v>
      </c>
      <c r="I13" s="8">
        <v>44407</v>
      </c>
      <c r="J13" s="8">
        <v>44407</v>
      </c>
      <c r="K13" s="8">
        <v>44407</v>
      </c>
      <c r="L13" s="7">
        <v>1</v>
      </c>
      <c r="M13" s="7" t="s">
        <v>194</v>
      </c>
      <c r="N13" s="8">
        <v>44392</v>
      </c>
      <c r="O13">
        <f>VLOOKUP(A13,Sheet2!C12:F146,4,FALSE)</f>
        <v>37.1</v>
      </c>
      <c r="P13">
        <f>VLOOKUP(A13,Sheet2!C12:F146,4,FALSE)</f>
        <v>37.1</v>
      </c>
    </row>
    <row r="14" spans="1:16" x14ac:dyDescent="0.2">
      <c r="A14">
        <v>12</v>
      </c>
      <c r="B14" s="28" t="s">
        <v>168</v>
      </c>
      <c r="C14">
        <v>40</v>
      </c>
      <c r="D14" s="3" t="s">
        <v>7</v>
      </c>
      <c r="E14" s="3" t="s">
        <v>183</v>
      </c>
      <c r="F14" s="3" t="s">
        <v>184</v>
      </c>
      <c r="G14" s="8">
        <v>44401</v>
      </c>
      <c r="H14" s="8">
        <v>44401</v>
      </c>
      <c r="I14" s="8">
        <v>44406</v>
      </c>
      <c r="J14" s="8">
        <v>44407</v>
      </c>
      <c r="K14" s="8">
        <v>44407</v>
      </c>
      <c r="L14" s="7">
        <v>1</v>
      </c>
      <c r="M14" s="7" t="s">
        <v>196</v>
      </c>
      <c r="N14" s="8">
        <v>44390</v>
      </c>
    </row>
    <row r="15" spans="1:16" x14ac:dyDescent="0.2">
      <c r="A15">
        <v>107</v>
      </c>
      <c r="B15" s="28" t="s">
        <v>168</v>
      </c>
      <c r="C15">
        <v>47</v>
      </c>
      <c r="D15" s="3" t="s">
        <v>7</v>
      </c>
      <c r="E15" s="3" t="s">
        <v>176</v>
      </c>
      <c r="F15" s="3" t="s">
        <v>177</v>
      </c>
      <c r="G15" s="8"/>
      <c r="H15" s="8"/>
      <c r="I15" s="8">
        <v>44417</v>
      </c>
      <c r="J15" s="8">
        <v>44417</v>
      </c>
      <c r="K15" s="8">
        <v>44417</v>
      </c>
      <c r="L15" s="9">
        <v>2</v>
      </c>
      <c r="M15" s="9" t="s">
        <v>196</v>
      </c>
      <c r="N15" s="8">
        <v>44399</v>
      </c>
      <c r="O15">
        <f>VLOOKUP(A15,Sheet2!C108:F242,4,FALSE)</f>
        <v>28.41</v>
      </c>
      <c r="P15">
        <f>VLOOKUP(A15,Sheet2!C108:F242,4,FALSE)</f>
        <v>28.41</v>
      </c>
    </row>
    <row r="16" spans="1:16" x14ac:dyDescent="0.2">
      <c r="A16">
        <v>69</v>
      </c>
      <c r="B16" s="28" t="s">
        <v>167</v>
      </c>
      <c r="C16">
        <v>44</v>
      </c>
      <c r="D16" s="3" t="s">
        <v>7</v>
      </c>
      <c r="E16" s="3" t="s">
        <v>179</v>
      </c>
      <c r="F16" s="3" t="s">
        <v>180</v>
      </c>
      <c r="G16" s="8">
        <v>44405</v>
      </c>
      <c r="H16" s="8">
        <v>44405</v>
      </c>
      <c r="I16" s="8">
        <v>44411</v>
      </c>
      <c r="J16" s="8">
        <v>44412</v>
      </c>
      <c r="K16" s="8">
        <v>44412</v>
      </c>
      <c r="L16" s="7">
        <v>1</v>
      </c>
      <c r="M16" s="7" t="s">
        <v>194</v>
      </c>
      <c r="N16" s="8">
        <v>44394</v>
      </c>
      <c r="O16">
        <f>VLOOKUP(A16,Sheet2!C70:F204,4,FALSE)</f>
        <v>28.1</v>
      </c>
      <c r="P16">
        <f>VLOOKUP(A16,Sheet2!C70:F204,4,FALSE)</f>
        <v>28.1</v>
      </c>
    </row>
    <row r="17" spans="1:16" x14ac:dyDescent="0.2">
      <c r="A17">
        <v>46</v>
      </c>
      <c r="B17" s="28" t="s">
        <v>167</v>
      </c>
      <c r="C17">
        <v>18</v>
      </c>
      <c r="D17" s="3" t="s">
        <v>8</v>
      </c>
      <c r="E17" s="3" t="s">
        <v>179</v>
      </c>
      <c r="F17" s="3" t="s">
        <v>189</v>
      </c>
      <c r="G17" s="8">
        <v>44405</v>
      </c>
      <c r="H17" s="8">
        <v>44405</v>
      </c>
      <c r="I17" s="8">
        <v>44409</v>
      </c>
      <c r="J17" s="8">
        <v>44409</v>
      </c>
      <c r="K17" s="8">
        <v>44409</v>
      </c>
      <c r="L17" s="7">
        <v>0</v>
      </c>
      <c r="M17" s="7"/>
      <c r="N17" s="8">
        <v>44390</v>
      </c>
      <c r="O17">
        <f>VLOOKUP(A17,Sheet2!C47:F181,4,FALSE)</f>
        <v>31.2</v>
      </c>
      <c r="P17">
        <f>VLOOKUP(A17,Sheet2!C47:F181,4,FALSE)</f>
        <v>31.2</v>
      </c>
    </row>
    <row r="18" spans="1:16" x14ac:dyDescent="0.2">
      <c r="A18">
        <v>67</v>
      </c>
      <c r="B18" s="28" t="s">
        <v>167</v>
      </c>
      <c r="C18">
        <v>31</v>
      </c>
      <c r="D18" s="3" t="s">
        <v>7</v>
      </c>
      <c r="E18" s="3" t="s">
        <v>179</v>
      </c>
      <c r="F18" s="3" t="s">
        <v>180</v>
      </c>
      <c r="G18" s="8">
        <v>44402</v>
      </c>
      <c r="H18" s="8">
        <v>44402</v>
      </c>
      <c r="I18" s="8">
        <v>44411</v>
      </c>
      <c r="J18" s="8">
        <v>44412</v>
      </c>
      <c r="K18" s="8">
        <v>44412</v>
      </c>
      <c r="L18" s="7">
        <v>1</v>
      </c>
      <c r="M18" s="7" t="s">
        <v>196</v>
      </c>
      <c r="N18" s="8">
        <v>44392</v>
      </c>
      <c r="O18">
        <f>VLOOKUP(A18,Sheet2!C68:F202,4,FALSE)</f>
        <v>36.799999999999997</v>
      </c>
      <c r="P18">
        <f>VLOOKUP(A18,Sheet2!C68:F202,4,FALSE)</f>
        <v>36.799999999999997</v>
      </c>
    </row>
    <row r="19" spans="1:16" x14ac:dyDescent="0.2">
      <c r="A19">
        <v>79</v>
      </c>
      <c r="B19" s="28" t="s">
        <v>168</v>
      </c>
      <c r="C19">
        <v>58</v>
      </c>
      <c r="D19" s="3" t="s">
        <v>7</v>
      </c>
      <c r="E19" s="3" t="s">
        <v>176</v>
      </c>
      <c r="F19" s="3" t="s">
        <v>177</v>
      </c>
      <c r="G19" s="8">
        <v>44405</v>
      </c>
      <c r="H19" s="8">
        <v>44405</v>
      </c>
      <c r="I19" s="8">
        <v>44413</v>
      </c>
      <c r="J19" s="8">
        <v>44413</v>
      </c>
      <c r="K19" s="8">
        <v>44413</v>
      </c>
      <c r="L19" s="7">
        <v>1</v>
      </c>
      <c r="M19" s="7" t="s">
        <v>194</v>
      </c>
      <c r="N19" s="8">
        <v>44390</v>
      </c>
      <c r="O19">
        <f>VLOOKUP(A19,Sheet2!C80:F214,4,FALSE)</f>
        <v>22.21</v>
      </c>
      <c r="P19">
        <f>VLOOKUP(A19,Sheet2!C80:F214,4,FALSE)</f>
        <v>22.21</v>
      </c>
    </row>
    <row r="20" spans="1:16" x14ac:dyDescent="0.2">
      <c r="A20">
        <v>77</v>
      </c>
      <c r="B20" s="28" t="s">
        <v>167</v>
      </c>
      <c r="C20">
        <v>22</v>
      </c>
      <c r="D20" s="3" t="s">
        <v>7</v>
      </c>
      <c r="E20" s="3" t="s">
        <v>176</v>
      </c>
      <c r="F20" s="3" t="s">
        <v>177</v>
      </c>
      <c r="G20" s="8">
        <v>44404</v>
      </c>
      <c r="H20" s="8">
        <v>44404</v>
      </c>
      <c r="I20" s="8">
        <v>44411</v>
      </c>
      <c r="J20" s="8">
        <v>44413</v>
      </c>
      <c r="K20" s="8">
        <v>44413</v>
      </c>
      <c r="L20" s="7">
        <v>1</v>
      </c>
      <c r="M20" s="7" t="s">
        <v>196</v>
      </c>
      <c r="N20" s="8">
        <v>44389</v>
      </c>
      <c r="O20">
        <f>VLOOKUP(A20,Sheet2!C78:F212,4,FALSE)</f>
        <v>18.88</v>
      </c>
      <c r="P20">
        <f>VLOOKUP(A20,Sheet2!C78:F212,4,FALSE)</f>
        <v>18.88</v>
      </c>
    </row>
    <row r="21" spans="1:16" x14ac:dyDescent="0.2">
      <c r="A21">
        <v>36</v>
      </c>
      <c r="B21" s="28" t="s">
        <v>168</v>
      </c>
      <c r="C21">
        <v>43</v>
      </c>
      <c r="D21" s="3" t="s">
        <v>7</v>
      </c>
      <c r="E21" s="3" t="s">
        <v>176</v>
      </c>
      <c r="F21" s="3" t="s">
        <v>177</v>
      </c>
      <c r="G21" s="8">
        <v>44401</v>
      </c>
      <c r="H21" s="8">
        <v>44401</v>
      </c>
      <c r="I21" s="8">
        <v>44403</v>
      </c>
      <c r="J21" s="8">
        <v>44409</v>
      </c>
      <c r="K21" s="8">
        <v>44409</v>
      </c>
      <c r="L21" s="7">
        <v>1</v>
      </c>
      <c r="M21" s="7" t="s">
        <v>194</v>
      </c>
      <c r="N21" s="8">
        <v>44384</v>
      </c>
    </row>
    <row r="22" spans="1:16" x14ac:dyDescent="0.2">
      <c r="A22">
        <v>57</v>
      </c>
      <c r="B22" s="28" t="s">
        <v>167</v>
      </c>
      <c r="C22">
        <v>49</v>
      </c>
      <c r="D22" s="3" t="s">
        <v>7</v>
      </c>
      <c r="E22" s="3" t="s">
        <v>176</v>
      </c>
      <c r="F22" s="3" t="s">
        <v>177</v>
      </c>
      <c r="G22" s="8">
        <v>44397</v>
      </c>
      <c r="H22" s="8">
        <v>44397</v>
      </c>
      <c r="I22" s="8">
        <v>44411</v>
      </c>
      <c r="J22" s="8">
        <v>44411</v>
      </c>
      <c r="K22" s="8">
        <v>44411</v>
      </c>
      <c r="L22" s="7">
        <v>1</v>
      </c>
      <c r="M22" s="7" t="s">
        <v>196</v>
      </c>
      <c r="N22" s="8">
        <v>44385</v>
      </c>
    </row>
    <row r="23" spans="1:16" x14ac:dyDescent="0.2">
      <c r="A23">
        <v>51</v>
      </c>
      <c r="B23" s="28" t="s">
        <v>167</v>
      </c>
      <c r="C23">
        <v>30</v>
      </c>
      <c r="D23" s="3" t="s">
        <v>7</v>
      </c>
      <c r="E23" s="3" t="s">
        <v>176</v>
      </c>
      <c r="F23" s="3" t="s">
        <v>177</v>
      </c>
      <c r="G23" s="8">
        <v>44404</v>
      </c>
      <c r="H23" s="8">
        <v>44404</v>
      </c>
      <c r="I23" s="8">
        <v>44409</v>
      </c>
      <c r="J23" s="8">
        <v>44410</v>
      </c>
      <c r="K23" s="8">
        <v>44410</v>
      </c>
      <c r="L23" s="7">
        <v>1</v>
      </c>
      <c r="M23" s="7" t="s">
        <v>194</v>
      </c>
      <c r="N23" s="8">
        <v>44384</v>
      </c>
      <c r="O23">
        <f>VLOOKUP(A23,Sheet2!C52:F186,4,FALSE)</f>
        <v>30.88</v>
      </c>
      <c r="P23">
        <f>VLOOKUP(A23,Sheet2!C52:F186,4,FALSE)</f>
        <v>30.88</v>
      </c>
    </row>
    <row r="24" spans="1:16" x14ac:dyDescent="0.2">
      <c r="A24">
        <v>116</v>
      </c>
      <c r="B24" s="28" t="s">
        <v>168</v>
      </c>
      <c r="C24">
        <v>63</v>
      </c>
      <c r="D24" s="3" t="s">
        <v>7</v>
      </c>
      <c r="E24" s="3" t="s">
        <v>176</v>
      </c>
      <c r="F24" s="3" t="s">
        <v>177</v>
      </c>
      <c r="G24" s="8"/>
      <c r="H24" s="8"/>
      <c r="I24" s="8">
        <v>44418</v>
      </c>
      <c r="J24" s="8">
        <v>44419</v>
      </c>
      <c r="K24" s="8">
        <v>44419</v>
      </c>
      <c r="L24" s="7">
        <v>1</v>
      </c>
      <c r="M24" s="7" t="s">
        <v>194</v>
      </c>
      <c r="N24" s="8">
        <v>44390</v>
      </c>
      <c r="O24">
        <f>VLOOKUP(A24,Sheet2!C117:F251,4,FALSE)</f>
        <v>33.159999999999997</v>
      </c>
      <c r="P24">
        <f>VLOOKUP(A24,Sheet2!C117:F251,4,FALSE)</f>
        <v>33.159999999999997</v>
      </c>
    </row>
    <row r="25" spans="1:16" x14ac:dyDescent="0.2">
      <c r="A25">
        <v>82</v>
      </c>
      <c r="B25" s="28" t="s">
        <v>168</v>
      </c>
      <c r="C25">
        <v>18</v>
      </c>
      <c r="D25" s="3" t="s">
        <v>7</v>
      </c>
      <c r="E25" s="3" t="s">
        <v>176</v>
      </c>
      <c r="F25" s="3" t="s">
        <v>177</v>
      </c>
      <c r="G25" s="8">
        <v>44401</v>
      </c>
      <c r="H25" s="8">
        <v>44401</v>
      </c>
      <c r="I25" s="8">
        <v>44409</v>
      </c>
      <c r="J25" s="8">
        <v>44413</v>
      </c>
      <c r="K25" s="8">
        <v>44413</v>
      </c>
      <c r="L25" s="7">
        <v>1</v>
      </c>
      <c r="M25" s="7"/>
      <c r="N25" s="8">
        <v>44384</v>
      </c>
      <c r="O25">
        <f>VLOOKUP(A25,Sheet2!C83:F217,4,FALSE)</f>
        <v>27.48</v>
      </c>
      <c r="P25">
        <f>VLOOKUP(A25,Sheet2!C83:F217,4,FALSE)</f>
        <v>27.48</v>
      </c>
    </row>
    <row r="26" spans="1:16" x14ac:dyDescent="0.2">
      <c r="A26">
        <v>25</v>
      </c>
      <c r="B26" s="28" t="s">
        <v>168</v>
      </c>
      <c r="C26">
        <v>36</v>
      </c>
      <c r="D26" s="3" t="s">
        <v>7</v>
      </c>
      <c r="E26" s="3" t="s">
        <v>174</v>
      </c>
      <c r="F26" s="3" t="s">
        <v>187</v>
      </c>
      <c r="G26" s="8">
        <v>44402</v>
      </c>
      <c r="H26" s="8">
        <v>44402</v>
      </c>
      <c r="I26" s="8">
        <v>44407</v>
      </c>
      <c r="J26" s="8">
        <v>44408</v>
      </c>
      <c r="K26" s="8">
        <v>44408</v>
      </c>
      <c r="L26" s="7">
        <v>1</v>
      </c>
      <c r="M26" s="7" t="s">
        <v>197</v>
      </c>
      <c r="N26" s="8">
        <v>44379</v>
      </c>
    </row>
    <row r="27" spans="1:16" x14ac:dyDescent="0.2">
      <c r="A27">
        <v>15</v>
      </c>
      <c r="B27" s="28" t="s">
        <v>168</v>
      </c>
      <c r="C27">
        <v>34</v>
      </c>
      <c r="D27" s="3" t="s">
        <v>6</v>
      </c>
      <c r="E27" s="3" t="s">
        <v>174</v>
      </c>
      <c r="F27" s="3" t="s">
        <v>175</v>
      </c>
      <c r="G27" s="8">
        <v>44401</v>
      </c>
      <c r="H27" s="8">
        <v>44401</v>
      </c>
      <c r="I27" s="8">
        <v>44407</v>
      </c>
      <c r="J27" s="8">
        <v>44407</v>
      </c>
      <c r="K27" s="8">
        <v>44407</v>
      </c>
      <c r="L27" s="7">
        <v>1</v>
      </c>
      <c r="M27" s="7" t="s">
        <v>197</v>
      </c>
      <c r="N27" s="8">
        <v>44378</v>
      </c>
    </row>
    <row r="28" spans="1:16" x14ac:dyDescent="0.2">
      <c r="A28">
        <v>117</v>
      </c>
      <c r="B28" s="28" t="s">
        <v>167</v>
      </c>
      <c r="C28">
        <v>31</v>
      </c>
      <c r="D28" s="3" t="s">
        <v>7</v>
      </c>
      <c r="E28" s="3" t="s">
        <v>176</v>
      </c>
      <c r="F28" s="3" t="s">
        <v>177</v>
      </c>
      <c r="G28" s="8"/>
      <c r="H28" s="8"/>
      <c r="I28" s="8">
        <v>44419</v>
      </c>
      <c r="J28" s="8">
        <v>44419</v>
      </c>
      <c r="K28" s="8">
        <v>44419</v>
      </c>
      <c r="L28" s="7">
        <v>1</v>
      </c>
      <c r="M28" s="7" t="s">
        <v>196</v>
      </c>
      <c r="N28" s="8">
        <v>44384</v>
      </c>
      <c r="O28">
        <f>VLOOKUP(A28,Sheet2!C118:F252,4,FALSE)</f>
        <v>38.119999999999997</v>
      </c>
      <c r="P28">
        <f>VLOOKUP(A28,Sheet2!C118:F252,4,FALSE)</f>
        <v>38.119999999999997</v>
      </c>
    </row>
    <row r="29" spans="1:16" x14ac:dyDescent="0.2">
      <c r="A29">
        <v>87</v>
      </c>
      <c r="B29" s="28" t="s">
        <v>167</v>
      </c>
      <c r="C29">
        <v>39</v>
      </c>
      <c r="D29" s="3" t="s">
        <v>7</v>
      </c>
      <c r="E29" s="3" t="s">
        <v>176</v>
      </c>
      <c r="F29" s="3" t="s">
        <v>177</v>
      </c>
      <c r="G29" s="8">
        <v>44406</v>
      </c>
      <c r="H29" s="8">
        <v>44406</v>
      </c>
      <c r="I29" s="8">
        <v>44414</v>
      </c>
      <c r="J29" s="8">
        <v>44414</v>
      </c>
      <c r="K29" s="8">
        <v>44414</v>
      </c>
      <c r="L29" s="7">
        <v>1</v>
      </c>
      <c r="M29" s="7" t="s">
        <v>197</v>
      </c>
      <c r="N29" s="8">
        <v>44379</v>
      </c>
      <c r="O29">
        <f>VLOOKUP(A29,Sheet2!C88:F222,4,FALSE)</f>
        <v>20.079999999999998</v>
      </c>
      <c r="P29">
        <f>VLOOKUP(A29,Sheet2!C88:F222,4,FALSE)</f>
        <v>20.079999999999998</v>
      </c>
    </row>
    <row r="30" spans="1:16" x14ac:dyDescent="0.2">
      <c r="A30">
        <v>6</v>
      </c>
      <c r="B30" s="28" t="s">
        <v>168</v>
      </c>
      <c r="C30">
        <v>39</v>
      </c>
      <c r="D30" s="3" t="s">
        <v>7</v>
      </c>
      <c r="E30" s="3" t="s">
        <v>179</v>
      </c>
      <c r="F30" s="3" t="s">
        <v>180</v>
      </c>
      <c r="G30" s="8">
        <v>44401</v>
      </c>
      <c r="H30" s="8">
        <v>44401</v>
      </c>
      <c r="I30" s="8">
        <v>44404</v>
      </c>
      <c r="J30" s="8">
        <v>44406</v>
      </c>
      <c r="K30" s="8">
        <v>44406</v>
      </c>
      <c r="L30" s="9">
        <v>2</v>
      </c>
      <c r="M30" s="9" t="s">
        <v>194</v>
      </c>
      <c r="N30" s="8">
        <v>44371</v>
      </c>
      <c r="O30">
        <f>VLOOKUP(A30,Sheet2!C7:F141,4,FALSE)</f>
        <v>37.1</v>
      </c>
      <c r="P30">
        <f>VLOOKUP(A30,Sheet2!C7:F141,4,FALSE)</f>
        <v>37.1</v>
      </c>
    </row>
    <row r="31" spans="1:16" x14ac:dyDescent="0.2">
      <c r="A31">
        <v>121</v>
      </c>
      <c r="B31" s="28" t="s">
        <v>168</v>
      </c>
      <c r="C31">
        <v>26</v>
      </c>
      <c r="D31" s="3" t="s">
        <v>7</v>
      </c>
      <c r="E31" s="3" t="s">
        <v>176</v>
      </c>
      <c r="F31" s="3" t="s">
        <v>177</v>
      </c>
      <c r="G31" s="8"/>
      <c r="H31" s="8"/>
      <c r="I31" s="8">
        <v>44418</v>
      </c>
      <c r="J31" s="8">
        <v>44419</v>
      </c>
      <c r="K31" s="8">
        <v>44419</v>
      </c>
      <c r="L31" s="7">
        <v>1</v>
      </c>
      <c r="M31" s="7" t="s">
        <v>196</v>
      </c>
      <c r="N31" s="8">
        <v>44383</v>
      </c>
      <c r="O31">
        <f>VLOOKUP(A31,Sheet2!C122:F256,4,FALSE)</f>
        <v>22.46</v>
      </c>
      <c r="P31">
        <f>VLOOKUP(A31,Sheet2!C122:F256,4,FALSE)</f>
        <v>22.46</v>
      </c>
    </row>
    <row r="32" spans="1:16" x14ac:dyDescent="0.2">
      <c r="A32">
        <v>113</v>
      </c>
      <c r="B32" s="28" t="s">
        <v>167</v>
      </c>
      <c r="C32">
        <v>48</v>
      </c>
      <c r="D32" s="3" t="s">
        <v>8</v>
      </c>
      <c r="E32" s="3" t="s">
        <v>176</v>
      </c>
      <c r="F32" s="3" t="s">
        <v>177</v>
      </c>
      <c r="G32" s="8"/>
      <c r="H32" s="8"/>
      <c r="I32" s="8">
        <v>44417</v>
      </c>
      <c r="J32" s="8">
        <v>44418</v>
      </c>
      <c r="K32" s="8">
        <v>44418</v>
      </c>
      <c r="L32" s="7">
        <v>1</v>
      </c>
      <c r="M32" s="7" t="s">
        <v>196</v>
      </c>
      <c r="N32" s="8">
        <v>44382</v>
      </c>
      <c r="O32">
        <f>VLOOKUP(A32,Sheet2!C114:F248,4,FALSE)</f>
        <v>34</v>
      </c>
      <c r="P32">
        <f>VLOOKUP(A32,Sheet2!C114:F248,4,FALSE)</f>
        <v>34</v>
      </c>
    </row>
    <row r="33" spans="1:16" x14ac:dyDescent="0.2">
      <c r="A33">
        <v>128</v>
      </c>
      <c r="B33" s="12"/>
      <c r="C33">
        <v>54</v>
      </c>
      <c r="D33" s="3" t="s">
        <v>7</v>
      </c>
      <c r="E33" s="3"/>
      <c r="F33" s="3"/>
      <c r="G33" s="8"/>
      <c r="H33" s="8"/>
      <c r="I33" s="8">
        <v>44422</v>
      </c>
      <c r="J33" s="8">
        <v>44422</v>
      </c>
      <c r="K33" s="8">
        <v>44422</v>
      </c>
      <c r="L33" s="7">
        <v>1</v>
      </c>
      <c r="M33" s="7" t="s">
        <v>194</v>
      </c>
      <c r="N33" s="8">
        <v>44384</v>
      </c>
      <c r="O33">
        <f>VLOOKUP(A33,Sheet2!C129:F263,4,FALSE)</f>
        <v>23.98</v>
      </c>
      <c r="P33">
        <f>VLOOKUP(A33,Sheet2!C129:F263,4,FALSE)</f>
        <v>23.98</v>
      </c>
    </row>
    <row r="34" spans="1:16" x14ac:dyDescent="0.2">
      <c r="A34">
        <v>53</v>
      </c>
      <c r="B34" s="28" t="s">
        <v>167</v>
      </c>
      <c r="C34">
        <v>68</v>
      </c>
      <c r="D34" s="3" t="s">
        <v>6</v>
      </c>
      <c r="E34" s="3" t="s">
        <v>181</v>
      </c>
      <c r="F34" s="3" t="s">
        <v>182</v>
      </c>
      <c r="G34" s="8">
        <v>44401</v>
      </c>
      <c r="H34" s="8">
        <v>44401</v>
      </c>
      <c r="I34" s="8">
        <v>44410</v>
      </c>
      <c r="J34" s="8">
        <v>44411</v>
      </c>
      <c r="K34" s="8">
        <v>44411</v>
      </c>
      <c r="L34" s="9">
        <v>2</v>
      </c>
      <c r="M34" s="9" t="s">
        <v>196</v>
      </c>
      <c r="N34" s="8">
        <v>44373</v>
      </c>
      <c r="O34">
        <f>VLOOKUP(A34,Sheet2!C54:F188,4,FALSE)</f>
        <v>19.97</v>
      </c>
      <c r="P34">
        <f>VLOOKUP(A34,Sheet2!C54:F188,4,FALSE)</f>
        <v>19.97</v>
      </c>
    </row>
    <row r="35" spans="1:16" x14ac:dyDescent="0.2">
      <c r="A35">
        <v>8</v>
      </c>
      <c r="B35" s="28" t="s">
        <v>168</v>
      </c>
      <c r="C35">
        <v>38</v>
      </c>
      <c r="D35" s="3" t="s">
        <v>7</v>
      </c>
      <c r="E35" s="3" t="s">
        <v>176</v>
      </c>
      <c r="F35" s="3" t="s">
        <v>177</v>
      </c>
      <c r="G35" s="8">
        <v>44394</v>
      </c>
      <c r="H35" s="8">
        <v>44394</v>
      </c>
      <c r="I35" s="8">
        <v>44400</v>
      </c>
      <c r="J35" s="8">
        <v>44406</v>
      </c>
      <c r="K35" s="8">
        <v>44406</v>
      </c>
      <c r="L35" s="9">
        <v>2</v>
      </c>
      <c r="M35" s="9"/>
      <c r="N35" s="8">
        <v>44368</v>
      </c>
      <c r="O35">
        <f>VLOOKUP(A35,Sheet2!C9:F143,4,FALSE)</f>
        <v>37.659999999999997</v>
      </c>
      <c r="P35">
        <f>VLOOKUP(A35,Sheet2!C9:F143,4,FALSE)</f>
        <v>37.659999999999997</v>
      </c>
    </row>
    <row r="36" spans="1:16" x14ac:dyDescent="0.2">
      <c r="A36">
        <v>55</v>
      </c>
      <c r="B36" s="28" t="s">
        <v>168</v>
      </c>
      <c r="C36">
        <v>34</v>
      </c>
      <c r="D36" s="3" t="s">
        <v>7</v>
      </c>
      <c r="E36" s="3" t="s">
        <v>176</v>
      </c>
      <c r="F36" s="3" t="s">
        <v>177</v>
      </c>
      <c r="G36" s="8">
        <v>44399</v>
      </c>
      <c r="H36" s="8">
        <v>44399</v>
      </c>
      <c r="I36" s="8">
        <v>44410</v>
      </c>
      <c r="J36" s="8">
        <v>44411</v>
      </c>
      <c r="K36" s="8">
        <v>44411</v>
      </c>
      <c r="L36" s="9">
        <v>2</v>
      </c>
      <c r="M36" s="9" t="s">
        <v>196</v>
      </c>
      <c r="N36" s="8">
        <v>44372</v>
      </c>
      <c r="O36">
        <f>VLOOKUP(A36,Sheet2!C56:F190,4,FALSE)</f>
        <v>20.14</v>
      </c>
      <c r="P36">
        <f>VLOOKUP(A36,Sheet2!C56:F190,4,FALSE)</f>
        <v>20.14</v>
      </c>
    </row>
    <row r="37" spans="1:16" x14ac:dyDescent="0.2">
      <c r="A37">
        <v>27</v>
      </c>
      <c r="B37" s="28" t="s">
        <v>168</v>
      </c>
      <c r="C37">
        <v>33</v>
      </c>
      <c r="D37" s="3" t="s">
        <v>7</v>
      </c>
      <c r="E37" s="3" t="s">
        <v>185</v>
      </c>
      <c r="F37" s="3" t="s">
        <v>186</v>
      </c>
      <c r="G37" s="8">
        <v>44403</v>
      </c>
      <c r="H37" s="8">
        <v>44403</v>
      </c>
      <c r="I37" s="8">
        <v>44408</v>
      </c>
      <c r="J37" s="8">
        <v>44408</v>
      </c>
      <c r="K37" s="8">
        <v>44408</v>
      </c>
      <c r="L37" s="9">
        <v>2</v>
      </c>
      <c r="M37" s="9" t="s">
        <v>196</v>
      </c>
      <c r="N37" s="8">
        <v>44369</v>
      </c>
    </row>
    <row r="38" spans="1:16" x14ac:dyDescent="0.2">
      <c r="A38">
        <v>38</v>
      </c>
      <c r="B38" s="28" t="s">
        <v>167</v>
      </c>
      <c r="C38">
        <v>31</v>
      </c>
      <c r="D38" s="3" t="s">
        <v>8</v>
      </c>
      <c r="E38" s="3" t="s">
        <v>176</v>
      </c>
      <c r="F38" s="3" t="s">
        <v>177</v>
      </c>
      <c r="G38" s="8">
        <v>44404</v>
      </c>
      <c r="H38" s="8">
        <v>44404</v>
      </c>
      <c r="I38" s="8">
        <v>44406</v>
      </c>
      <c r="J38" s="8">
        <v>44409</v>
      </c>
      <c r="K38" s="8">
        <v>44409</v>
      </c>
      <c r="L38" s="9">
        <v>2</v>
      </c>
      <c r="M38" s="9" t="s">
        <v>194</v>
      </c>
      <c r="N38" s="8">
        <v>44368</v>
      </c>
      <c r="O38">
        <f>VLOOKUP(A38,Sheet2!C39:F173,4,FALSE)</f>
        <v>24.21</v>
      </c>
      <c r="P38">
        <f>VLOOKUP(A38,Sheet2!C39:F173,4,FALSE)</f>
        <v>24.21</v>
      </c>
    </row>
    <row r="39" spans="1:16" x14ac:dyDescent="0.2">
      <c r="A39">
        <v>1</v>
      </c>
      <c r="B39" s="28" t="s">
        <v>168</v>
      </c>
      <c r="C39">
        <v>36</v>
      </c>
      <c r="D39" s="3" t="s">
        <v>6</v>
      </c>
      <c r="E39" s="3" t="s">
        <v>172</v>
      </c>
      <c r="F39" s="3" t="s">
        <v>173</v>
      </c>
      <c r="G39" s="8">
        <v>44400</v>
      </c>
      <c r="H39" s="8">
        <v>44400</v>
      </c>
      <c r="I39" s="8">
        <v>44404</v>
      </c>
      <c r="J39" s="8">
        <v>44405</v>
      </c>
      <c r="K39" s="8">
        <v>44405</v>
      </c>
      <c r="L39" s="9">
        <v>2</v>
      </c>
      <c r="M39" s="9" t="s">
        <v>194</v>
      </c>
      <c r="N39" s="8">
        <v>44363</v>
      </c>
    </row>
    <row r="40" spans="1:16" x14ac:dyDescent="0.2">
      <c r="A40">
        <v>97</v>
      </c>
      <c r="B40" s="28" t="s">
        <v>167</v>
      </c>
      <c r="C40">
        <v>36</v>
      </c>
      <c r="D40" s="3" t="s">
        <v>8</v>
      </c>
      <c r="E40" s="3" t="s">
        <v>176</v>
      </c>
      <c r="F40" s="3" t="s">
        <v>177</v>
      </c>
      <c r="G40" s="8"/>
      <c r="H40" s="8"/>
      <c r="I40" s="8">
        <v>44414</v>
      </c>
      <c r="J40" s="8">
        <v>44416</v>
      </c>
      <c r="K40" s="8">
        <v>44416</v>
      </c>
      <c r="L40" s="9">
        <v>1</v>
      </c>
      <c r="M40" s="9" t="s">
        <v>197</v>
      </c>
      <c r="N40" s="8">
        <v>44373</v>
      </c>
    </row>
    <row r="41" spans="1:16" x14ac:dyDescent="0.2">
      <c r="A41">
        <v>76</v>
      </c>
      <c r="B41" s="28" t="s">
        <v>167</v>
      </c>
      <c r="C41">
        <v>57</v>
      </c>
      <c r="D41" s="3" t="s">
        <v>7</v>
      </c>
      <c r="E41" s="3" t="s">
        <v>176</v>
      </c>
      <c r="F41" s="3" t="s">
        <v>177</v>
      </c>
      <c r="G41" s="8">
        <v>44396</v>
      </c>
      <c r="H41" s="8">
        <v>44396</v>
      </c>
      <c r="I41" s="8">
        <v>44410</v>
      </c>
      <c r="J41" s="8">
        <v>44413</v>
      </c>
      <c r="K41" s="8">
        <v>44413</v>
      </c>
      <c r="L41" s="9">
        <v>2</v>
      </c>
      <c r="M41" s="9" t="s">
        <v>195</v>
      </c>
      <c r="N41" s="8">
        <v>44370</v>
      </c>
      <c r="O41">
        <f>VLOOKUP(A41,Sheet2!C77:F211,4,FALSE)</f>
        <v>24.07</v>
      </c>
      <c r="P41">
        <f>VLOOKUP(A41,Sheet2!C77:F211,4,FALSE)</f>
        <v>24.07</v>
      </c>
    </row>
    <row r="42" spans="1:16" x14ac:dyDescent="0.2">
      <c r="A42">
        <v>49</v>
      </c>
      <c r="B42" s="28" t="s">
        <v>168</v>
      </c>
      <c r="C42">
        <v>58</v>
      </c>
      <c r="D42" s="3" t="s">
        <v>7</v>
      </c>
      <c r="E42" s="3" t="s">
        <v>176</v>
      </c>
      <c r="F42" s="3" t="s">
        <v>190</v>
      </c>
      <c r="G42" s="8">
        <v>44394</v>
      </c>
      <c r="H42" s="8">
        <v>44394</v>
      </c>
      <c r="I42" s="8">
        <v>44404</v>
      </c>
      <c r="J42" s="8">
        <v>44410</v>
      </c>
      <c r="K42" s="8">
        <v>44410</v>
      </c>
      <c r="L42" s="9">
        <v>2</v>
      </c>
      <c r="M42" s="9" t="s">
        <v>194</v>
      </c>
      <c r="N42" s="8">
        <v>44367</v>
      </c>
      <c r="O42">
        <f>VLOOKUP(A42,Sheet2!C50:F184,4,FALSE)</f>
        <v>34.71</v>
      </c>
      <c r="P42">
        <f>VLOOKUP(A42,Sheet2!C50:F184,4,FALSE)</f>
        <v>34.71</v>
      </c>
    </row>
    <row r="43" spans="1:16" x14ac:dyDescent="0.2">
      <c r="A43">
        <v>93</v>
      </c>
      <c r="B43" s="28" t="s">
        <v>167</v>
      </c>
      <c r="C43">
        <v>38</v>
      </c>
      <c r="D43" s="3" t="s">
        <v>7</v>
      </c>
      <c r="E43" s="3" t="s">
        <v>176</v>
      </c>
      <c r="F43" s="3" t="s">
        <v>177</v>
      </c>
      <c r="G43" s="8">
        <v>44405</v>
      </c>
      <c r="H43" s="8">
        <v>44405</v>
      </c>
      <c r="I43" s="8">
        <v>44415</v>
      </c>
      <c r="J43" s="8">
        <v>44415</v>
      </c>
      <c r="K43" s="8">
        <v>44415</v>
      </c>
      <c r="L43" s="9">
        <v>2</v>
      </c>
      <c r="M43" s="9" t="s">
        <v>194</v>
      </c>
      <c r="N43" s="8">
        <v>44371</v>
      </c>
      <c r="O43">
        <f>VLOOKUP(A43,Sheet2!C94:F228,4,FALSE)</f>
        <v>24.25</v>
      </c>
      <c r="P43">
        <f>VLOOKUP(A43,Sheet2!C94:F228,4,FALSE)</f>
        <v>24.25</v>
      </c>
    </row>
    <row r="44" spans="1:16" x14ac:dyDescent="0.2">
      <c r="A44">
        <v>60</v>
      </c>
      <c r="B44" s="28" t="s">
        <v>168</v>
      </c>
      <c r="C44">
        <v>34</v>
      </c>
      <c r="D44" s="3" t="s">
        <v>6</v>
      </c>
      <c r="E44" s="3" t="s">
        <v>181</v>
      </c>
      <c r="F44" s="3" t="s">
        <v>182</v>
      </c>
      <c r="G44" s="8">
        <v>44401</v>
      </c>
      <c r="H44" s="8">
        <v>44401</v>
      </c>
      <c r="I44" s="8">
        <v>44411</v>
      </c>
      <c r="J44" s="8">
        <v>44412</v>
      </c>
      <c r="K44" s="8">
        <v>44412</v>
      </c>
      <c r="L44" s="9">
        <v>2</v>
      </c>
      <c r="M44" s="9" t="s">
        <v>196</v>
      </c>
      <c r="N44" s="8">
        <v>44368</v>
      </c>
      <c r="O44">
        <f>VLOOKUP(A44,Sheet2!C61:F195,4,FALSE)</f>
        <v>29.63</v>
      </c>
      <c r="P44">
        <f>VLOOKUP(A44,Sheet2!C61:F195,4,FALSE)</f>
        <v>29.63</v>
      </c>
    </row>
    <row r="45" spans="1:16" x14ac:dyDescent="0.2">
      <c r="A45">
        <v>62</v>
      </c>
      <c r="B45" s="28" t="s">
        <v>168</v>
      </c>
      <c r="C45">
        <v>19</v>
      </c>
      <c r="D45" s="3" t="s">
        <v>8</v>
      </c>
      <c r="E45" s="3" t="s">
        <v>176</v>
      </c>
      <c r="F45" s="3" t="s">
        <v>177</v>
      </c>
      <c r="G45" s="8">
        <v>44400</v>
      </c>
      <c r="H45" s="8">
        <v>44400</v>
      </c>
      <c r="I45" s="8">
        <v>44408</v>
      </c>
      <c r="J45" s="8">
        <v>44412</v>
      </c>
      <c r="K45" s="8">
        <v>44412</v>
      </c>
      <c r="L45" s="9">
        <v>2</v>
      </c>
      <c r="M45" s="9" t="s">
        <v>196</v>
      </c>
      <c r="N45" s="8">
        <v>44368</v>
      </c>
      <c r="O45">
        <f>VLOOKUP(A45,Sheet2!C63:F197,4,FALSE)</f>
        <v>26.06</v>
      </c>
      <c r="P45">
        <f>VLOOKUP(A45,Sheet2!C63:F197,4,FALSE)</f>
        <v>26.06</v>
      </c>
    </row>
    <row r="46" spans="1:16" x14ac:dyDescent="0.2">
      <c r="A46">
        <v>127</v>
      </c>
      <c r="B46" s="12"/>
      <c r="C46">
        <v>33</v>
      </c>
      <c r="D46" s="3" t="s">
        <v>7</v>
      </c>
      <c r="E46" s="3"/>
      <c r="F46" s="3"/>
      <c r="G46" s="8"/>
      <c r="H46" s="8"/>
      <c r="I46" s="8">
        <v>44420</v>
      </c>
      <c r="J46" s="8">
        <v>44421</v>
      </c>
      <c r="K46" s="8">
        <v>44421</v>
      </c>
      <c r="L46" s="9">
        <v>2</v>
      </c>
      <c r="M46" s="9" t="s">
        <v>195</v>
      </c>
      <c r="N46" s="8">
        <v>44376</v>
      </c>
    </row>
    <row r="47" spans="1:16" x14ac:dyDescent="0.2">
      <c r="A47">
        <v>88</v>
      </c>
      <c r="B47" s="28" t="s">
        <v>167</v>
      </c>
      <c r="C47">
        <v>44</v>
      </c>
      <c r="D47" s="3" t="s">
        <v>7</v>
      </c>
      <c r="E47" s="3" t="s">
        <v>176</v>
      </c>
      <c r="F47" s="3" t="s">
        <v>177</v>
      </c>
      <c r="G47" s="8">
        <v>44394</v>
      </c>
      <c r="H47" s="8">
        <v>44394</v>
      </c>
      <c r="I47" s="8">
        <v>44414</v>
      </c>
      <c r="J47" s="8">
        <v>44414</v>
      </c>
      <c r="K47" s="8">
        <v>44414</v>
      </c>
      <c r="L47" s="9">
        <v>2</v>
      </c>
      <c r="M47" s="9" t="s">
        <v>196</v>
      </c>
      <c r="N47" s="8">
        <v>44368</v>
      </c>
      <c r="O47">
        <f>VLOOKUP(A47,Sheet2!C89:F223,4,FALSE)</f>
        <v>21.93</v>
      </c>
      <c r="P47">
        <f>VLOOKUP(A47,Sheet2!C89:F223,4,FALSE)</f>
        <v>21.93</v>
      </c>
    </row>
    <row r="48" spans="1:16" x14ac:dyDescent="0.2">
      <c r="A48">
        <v>37</v>
      </c>
      <c r="B48" s="28" t="s">
        <v>167</v>
      </c>
      <c r="C48">
        <v>39</v>
      </c>
      <c r="D48" s="3" t="s">
        <v>7</v>
      </c>
      <c r="E48" s="3" t="s">
        <v>176</v>
      </c>
      <c r="F48" s="3" t="s">
        <v>177</v>
      </c>
      <c r="G48" s="8">
        <v>44404</v>
      </c>
      <c r="H48" s="8">
        <v>44404</v>
      </c>
      <c r="I48" s="8">
        <v>44409</v>
      </c>
      <c r="J48" s="8">
        <v>44409</v>
      </c>
      <c r="K48" s="8">
        <v>44409</v>
      </c>
      <c r="L48" s="9">
        <v>2</v>
      </c>
      <c r="M48" s="9" t="s">
        <v>194</v>
      </c>
      <c r="N48" s="8">
        <v>44363</v>
      </c>
    </row>
    <row r="49" spans="1:16" x14ac:dyDescent="0.2">
      <c r="A49">
        <v>4</v>
      </c>
      <c r="B49" s="28" t="s">
        <v>168</v>
      </c>
      <c r="C49">
        <v>38</v>
      </c>
      <c r="D49" s="3" t="s">
        <v>6</v>
      </c>
      <c r="E49" s="3" t="s">
        <v>172</v>
      </c>
      <c r="F49" s="3" t="s">
        <v>178</v>
      </c>
      <c r="G49" s="8">
        <v>44401</v>
      </c>
      <c r="H49" s="8">
        <v>44401</v>
      </c>
      <c r="I49" s="8">
        <v>44402</v>
      </c>
      <c r="J49" s="8">
        <v>44406</v>
      </c>
      <c r="K49" s="8">
        <v>44406</v>
      </c>
      <c r="L49" s="9">
        <v>2</v>
      </c>
      <c r="M49" s="9" t="s">
        <v>194</v>
      </c>
      <c r="N49" s="8">
        <v>44360</v>
      </c>
    </row>
    <row r="50" spans="1:16" x14ac:dyDescent="0.2">
      <c r="A50">
        <v>125</v>
      </c>
      <c r="B50" s="12"/>
      <c r="C50">
        <v>57</v>
      </c>
      <c r="D50" s="3" t="s">
        <v>7</v>
      </c>
      <c r="E50" s="3"/>
      <c r="F50" s="3"/>
      <c r="G50" s="8"/>
      <c r="H50" s="8"/>
      <c r="I50" s="8">
        <v>44420</v>
      </c>
      <c r="J50" s="8">
        <v>44421</v>
      </c>
      <c r="K50" s="8">
        <v>44421</v>
      </c>
      <c r="L50" s="7">
        <v>1</v>
      </c>
      <c r="M50" s="7" t="s">
        <v>197</v>
      </c>
      <c r="N50" s="8">
        <v>44373</v>
      </c>
    </row>
    <row r="51" spans="1:16" x14ac:dyDescent="0.2">
      <c r="A51">
        <v>16</v>
      </c>
      <c r="B51" s="28" t="s">
        <v>168</v>
      </c>
      <c r="C51">
        <v>46</v>
      </c>
      <c r="D51" s="3" t="s">
        <v>7</v>
      </c>
      <c r="E51" s="3" t="s">
        <v>185</v>
      </c>
      <c r="F51" s="3" t="s">
        <v>186</v>
      </c>
      <c r="G51" s="8">
        <v>44403</v>
      </c>
      <c r="H51" s="8">
        <v>44403</v>
      </c>
      <c r="I51" s="8">
        <v>44406</v>
      </c>
      <c r="J51" s="8">
        <v>44407</v>
      </c>
      <c r="K51" s="8">
        <v>44407</v>
      </c>
      <c r="L51" s="9">
        <v>2</v>
      </c>
      <c r="M51" s="9" t="s">
        <v>196</v>
      </c>
      <c r="N51" s="8">
        <v>44358</v>
      </c>
    </row>
    <row r="52" spans="1:16" x14ac:dyDescent="0.2">
      <c r="A52">
        <v>19</v>
      </c>
      <c r="B52" s="28" t="s">
        <v>168</v>
      </c>
      <c r="C52">
        <v>45</v>
      </c>
      <c r="D52" s="3" t="s">
        <v>7</v>
      </c>
      <c r="E52" s="3" t="s">
        <v>176</v>
      </c>
      <c r="F52" s="3" t="s">
        <v>177</v>
      </c>
      <c r="G52" s="8">
        <v>44399</v>
      </c>
      <c r="H52" s="8">
        <v>44399</v>
      </c>
      <c r="I52" s="8">
        <v>44405</v>
      </c>
      <c r="J52" s="8">
        <v>44407</v>
      </c>
      <c r="K52" s="8">
        <v>44407</v>
      </c>
      <c r="L52" s="9">
        <v>2</v>
      </c>
      <c r="M52" s="9" t="s">
        <v>195</v>
      </c>
      <c r="N52" s="8">
        <v>44358</v>
      </c>
      <c r="O52">
        <f>VLOOKUP(A52,Sheet2!C20:F154,4,FALSE)</f>
        <v>34.89</v>
      </c>
      <c r="P52">
        <f>VLOOKUP(A52,Sheet2!C20:F154,4,FALSE)</f>
        <v>34.89</v>
      </c>
    </row>
    <row r="53" spans="1:16" x14ac:dyDescent="0.2">
      <c r="A53">
        <v>98</v>
      </c>
      <c r="B53" s="28" t="s">
        <v>168</v>
      </c>
      <c r="C53">
        <v>30</v>
      </c>
      <c r="D53" s="3" t="s">
        <v>7</v>
      </c>
      <c r="E53" s="3" t="s">
        <v>176</v>
      </c>
      <c r="F53" s="3" t="s">
        <v>177</v>
      </c>
      <c r="G53" s="8"/>
      <c r="H53" s="8"/>
      <c r="I53" s="8">
        <v>44414</v>
      </c>
      <c r="J53" s="8">
        <v>44416</v>
      </c>
      <c r="K53" s="8">
        <v>44416</v>
      </c>
      <c r="L53" s="9">
        <v>2</v>
      </c>
      <c r="M53" s="9" t="s">
        <v>194</v>
      </c>
      <c r="N53" s="8">
        <v>44365</v>
      </c>
      <c r="O53">
        <f>VLOOKUP(A53,Sheet2!C99:F233,4,FALSE)</f>
        <v>29.1</v>
      </c>
      <c r="P53">
        <f>VLOOKUP(A53,Sheet2!C99:F233,4,FALSE)</f>
        <v>29.1</v>
      </c>
    </row>
    <row r="54" spans="1:16" x14ac:dyDescent="0.2">
      <c r="A54">
        <v>90</v>
      </c>
      <c r="B54" s="28" t="s">
        <v>168</v>
      </c>
      <c r="C54">
        <v>37</v>
      </c>
      <c r="D54" s="3" t="s">
        <v>7</v>
      </c>
      <c r="E54" s="3" t="s">
        <v>179</v>
      </c>
      <c r="F54" s="3" t="s">
        <v>189</v>
      </c>
      <c r="G54" s="8">
        <v>44406</v>
      </c>
      <c r="H54" s="8">
        <v>44406</v>
      </c>
      <c r="I54" s="8">
        <v>44413</v>
      </c>
      <c r="J54" s="8">
        <v>44415</v>
      </c>
      <c r="K54" s="8">
        <v>44415</v>
      </c>
      <c r="L54" s="9">
        <v>2</v>
      </c>
      <c r="M54" s="9" t="s">
        <v>194</v>
      </c>
      <c r="N54" s="8">
        <v>44364</v>
      </c>
    </row>
    <row r="55" spans="1:16" x14ac:dyDescent="0.2">
      <c r="A55">
        <v>26</v>
      </c>
      <c r="B55" s="28" t="s">
        <v>167</v>
      </c>
      <c r="C55">
        <v>50</v>
      </c>
      <c r="D55" s="3" t="s">
        <v>7</v>
      </c>
      <c r="E55" s="3" t="s">
        <v>176</v>
      </c>
      <c r="F55" s="3" t="s">
        <v>177</v>
      </c>
      <c r="G55" s="8">
        <v>44401</v>
      </c>
      <c r="H55" s="8">
        <v>44401</v>
      </c>
      <c r="I55" s="8">
        <v>44405</v>
      </c>
      <c r="J55" s="8">
        <v>44408</v>
      </c>
      <c r="K55" s="8">
        <v>44408</v>
      </c>
      <c r="L55" s="9">
        <v>2</v>
      </c>
      <c r="M55" s="9"/>
      <c r="N55" s="8">
        <v>44357</v>
      </c>
      <c r="O55">
        <f>VLOOKUP(A55,Sheet2!C27:F161,4,FALSE)</f>
        <v>23.57</v>
      </c>
      <c r="P55">
        <f>VLOOKUP(A55,Sheet2!C27:F161,4,FALSE)</f>
        <v>23.57</v>
      </c>
    </row>
    <row r="56" spans="1:16" x14ac:dyDescent="0.2">
      <c r="A56">
        <v>10</v>
      </c>
      <c r="B56" s="28" t="s">
        <v>167</v>
      </c>
      <c r="C56">
        <v>37</v>
      </c>
      <c r="D56" s="3" t="s">
        <v>8</v>
      </c>
      <c r="E56" s="3" t="s">
        <v>179</v>
      </c>
      <c r="F56" s="3" t="s">
        <v>180</v>
      </c>
      <c r="G56" s="8">
        <v>44401</v>
      </c>
      <c r="H56" s="8">
        <v>44401</v>
      </c>
      <c r="I56" s="8">
        <v>44407</v>
      </c>
      <c r="J56" s="8">
        <v>44407</v>
      </c>
      <c r="K56" s="8">
        <v>44407</v>
      </c>
      <c r="L56" s="9">
        <v>2</v>
      </c>
      <c r="M56" s="9"/>
      <c r="N56" s="8">
        <v>44355</v>
      </c>
    </row>
    <row r="57" spans="1:16" x14ac:dyDescent="0.2">
      <c r="A57">
        <v>18</v>
      </c>
      <c r="B57" s="28" t="s">
        <v>167</v>
      </c>
      <c r="C57">
        <v>33</v>
      </c>
      <c r="D57" s="3" t="s">
        <v>8</v>
      </c>
      <c r="E57" s="3" t="s">
        <v>176</v>
      </c>
      <c r="F57" s="3" t="s">
        <v>177</v>
      </c>
      <c r="G57" s="8">
        <v>44399</v>
      </c>
      <c r="H57" s="8">
        <v>44399</v>
      </c>
      <c r="I57" s="8">
        <v>44406</v>
      </c>
      <c r="J57" s="8">
        <v>44407</v>
      </c>
      <c r="K57" s="8">
        <v>44407</v>
      </c>
      <c r="L57" s="9">
        <v>2</v>
      </c>
      <c r="M57" s="9" t="s">
        <v>195</v>
      </c>
      <c r="N57" s="8">
        <v>44355</v>
      </c>
      <c r="O57">
        <f>VLOOKUP(A57,Sheet2!C19:F153,4,FALSE)</f>
        <v>24.49</v>
      </c>
      <c r="P57">
        <f>VLOOKUP(A57,Sheet2!C19:F153,4,FALSE)</f>
        <v>24.49</v>
      </c>
    </row>
    <row r="58" spans="1:16" x14ac:dyDescent="0.2">
      <c r="A58">
        <v>58</v>
      </c>
      <c r="B58" s="28" t="s">
        <v>168</v>
      </c>
      <c r="C58">
        <v>28</v>
      </c>
      <c r="D58" s="3" t="s">
        <v>7</v>
      </c>
      <c r="E58" s="3" t="s">
        <v>179</v>
      </c>
      <c r="F58" s="3" t="s">
        <v>180</v>
      </c>
      <c r="G58" s="8">
        <v>44403</v>
      </c>
      <c r="H58" s="8">
        <v>44403</v>
      </c>
      <c r="I58" s="8">
        <v>44410</v>
      </c>
      <c r="J58" s="8">
        <v>44411</v>
      </c>
      <c r="K58" s="8">
        <v>44411</v>
      </c>
      <c r="L58" s="9">
        <v>2</v>
      </c>
      <c r="M58" s="9" t="s">
        <v>194</v>
      </c>
      <c r="N58" s="8">
        <v>44358</v>
      </c>
      <c r="O58">
        <f>VLOOKUP(A58,Sheet2!C59:F193,4,FALSE)</f>
        <v>38</v>
      </c>
      <c r="P58">
        <f>VLOOKUP(A58,Sheet2!C59:F193,4,FALSE)</f>
        <v>38</v>
      </c>
    </row>
    <row r="59" spans="1:16" x14ac:dyDescent="0.2">
      <c r="A59">
        <v>28</v>
      </c>
      <c r="B59" s="28" t="s">
        <v>168</v>
      </c>
      <c r="C59">
        <v>39</v>
      </c>
      <c r="D59" s="3" t="s">
        <v>8</v>
      </c>
      <c r="E59" s="3" t="s">
        <v>176</v>
      </c>
      <c r="F59" s="3" t="s">
        <v>177</v>
      </c>
      <c r="G59" s="8">
        <v>44400</v>
      </c>
      <c r="H59" s="8">
        <v>44400</v>
      </c>
      <c r="I59" s="8">
        <v>44406</v>
      </c>
      <c r="J59" s="8">
        <v>44408</v>
      </c>
      <c r="K59" s="8">
        <v>44408</v>
      </c>
      <c r="L59" s="9">
        <v>2</v>
      </c>
      <c r="M59" s="9" t="s">
        <v>195</v>
      </c>
      <c r="N59" s="8">
        <v>44354</v>
      </c>
    </row>
    <row r="60" spans="1:16" x14ac:dyDescent="0.2">
      <c r="A60">
        <v>50</v>
      </c>
      <c r="B60" s="28" t="s">
        <v>167</v>
      </c>
      <c r="C60">
        <v>20</v>
      </c>
      <c r="D60" s="3" t="s">
        <v>8</v>
      </c>
      <c r="E60" s="3" t="s">
        <v>176</v>
      </c>
      <c r="F60" s="3" t="s">
        <v>177</v>
      </c>
      <c r="G60" s="8">
        <v>44397</v>
      </c>
      <c r="H60" s="8">
        <v>44397</v>
      </c>
      <c r="I60" s="8">
        <v>44409</v>
      </c>
      <c r="J60" s="8">
        <v>44410</v>
      </c>
      <c r="K60" s="8">
        <v>44410</v>
      </c>
      <c r="L60" s="9">
        <v>2</v>
      </c>
      <c r="M60" s="9" t="s">
        <v>195</v>
      </c>
      <c r="N60" s="8">
        <v>44354</v>
      </c>
      <c r="O60">
        <f>VLOOKUP(A60,Sheet2!C51:F185,4,FALSE)</f>
        <v>14.1</v>
      </c>
      <c r="P60">
        <f>VLOOKUP(A60,Sheet2!C51:F185,4,FALSE)</f>
        <v>14.1</v>
      </c>
    </row>
    <row r="61" spans="1:16" x14ac:dyDescent="0.2">
      <c r="A61">
        <v>71</v>
      </c>
      <c r="B61" s="28" t="s">
        <v>168</v>
      </c>
      <c r="C61">
        <v>52</v>
      </c>
      <c r="D61" s="3" t="s">
        <v>7</v>
      </c>
      <c r="E61" s="3" t="s">
        <v>176</v>
      </c>
      <c r="F61" s="3" t="s">
        <v>177</v>
      </c>
      <c r="G61" s="8">
        <v>44403</v>
      </c>
      <c r="H61" s="8">
        <v>44403</v>
      </c>
      <c r="I61" s="8">
        <v>44412</v>
      </c>
      <c r="J61" s="8">
        <v>44412</v>
      </c>
      <c r="K61" s="8">
        <v>44412</v>
      </c>
      <c r="L61" s="9">
        <v>2</v>
      </c>
      <c r="M61" s="9" t="s">
        <v>195</v>
      </c>
      <c r="N61" s="8">
        <v>44354</v>
      </c>
    </row>
    <row r="62" spans="1:16" x14ac:dyDescent="0.2">
      <c r="A62">
        <v>110</v>
      </c>
      <c r="B62" s="28" t="s">
        <v>168</v>
      </c>
      <c r="C62">
        <v>52</v>
      </c>
      <c r="D62" s="3" t="s">
        <v>7</v>
      </c>
      <c r="E62" s="3" t="s">
        <v>176</v>
      </c>
      <c r="F62" s="3" t="s">
        <v>177</v>
      </c>
      <c r="G62" s="8"/>
      <c r="H62" s="8"/>
      <c r="I62" s="8">
        <v>44415</v>
      </c>
      <c r="J62" s="8">
        <v>44418</v>
      </c>
      <c r="K62" s="8">
        <v>44418</v>
      </c>
      <c r="L62" s="9">
        <v>2</v>
      </c>
      <c r="M62" s="9" t="s">
        <v>195</v>
      </c>
      <c r="N62" s="8">
        <v>44359</v>
      </c>
      <c r="O62">
        <f>VLOOKUP(A62,Sheet2!C111:F245,4,FALSE)</f>
        <v>33.81</v>
      </c>
      <c r="P62">
        <f>VLOOKUP(A62,Sheet2!C111:F245,4,FALSE)</f>
        <v>33.81</v>
      </c>
    </row>
    <row r="63" spans="1:16" x14ac:dyDescent="0.2">
      <c r="A63">
        <v>114</v>
      </c>
      <c r="B63" s="28" t="s">
        <v>168</v>
      </c>
      <c r="C63">
        <v>56</v>
      </c>
      <c r="D63" s="3" t="s">
        <v>7</v>
      </c>
      <c r="E63" s="3" t="s">
        <v>176</v>
      </c>
      <c r="F63" s="3" t="s">
        <v>177</v>
      </c>
      <c r="G63" s="8"/>
      <c r="H63" s="8"/>
      <c r="I63" s="8">
        <v>44418</v>
      </c>
      <c r="J63" s="8">
        <v>44418</v>
      </c>
      <c r="K63" s="8">
        <v>44418</v>
      </c>
      <c r="L63" s="9">
        <v>2</v>
      </c>
      <c r="M63" s="9" t="s">
        <v>195</v>
      </c>
      <c r="N63" s="8">
        <v>44359</v>
      </c>
      <c r="O63">
        <f>VLOOKUP(A63,Sheet2!C115:F249,4,FALSE)</f>
        <v>28.73</v>
      </c>
      <c r="P63">
        <f>VLOOKUP(A63,Sheet2!C115:F249,4,FALSE)</f>
        <v>28.73</v>
      </c>
    </row>
    <row r="64" spans="1:16" x14ac:dyDescent="0.2">
      <c r="A64">
        <v>108</v>
      </c>
      <c r="B64" s="28" t="s">
        <v>168</v>
      </c>
      <c r="C64">
        <v>37</v>
      </c>
      <c r="D64" s="3" t="s">
        <v>8</v>
      </c>
      <c r="E64" s="3" t="s">
        <v>176</v>
      </c>
      <c r="F64" s="3" t="s">
        <v>177</v>
      </c>
      <c r="G64" s="8"/>
      <c r="H64" s="8"/>
      <c r="I64" s="8">
        <v>44417</v>
      </c>
      <c r="J64" s="8">
        <v>44417</v>
      </c>
      <c r="K64" s="8">
        <v>44417</v>
      </c>
      <c r="L64" s="9">
        <v>2</v>
      </c>
      <c r="M64" s="9" t="s">
        <v>196</v>
      </c>
      <c r="N64" s="8">
        <v>44358</v>
      </c>
      <c r="O64">
        <f>VLOOKUP(A64,Sheet2!C109:F243,4,FALSE)</f>
        <v>23.61</v>
      </c>
      <c r="P64">
        <f>VLOOKUP(A64,Sheet2!C109:F243,4,FALSE)</f>
        <v>23.61</v>
      </c>
    </row>
    <row r="65" spans="1:16" x14ac:dyDescent="0.2">
      <c r="A65">
        <v>44</v>
      </c>
      <c r="B65" s="28" t="s">
        <v>167</v>
      </c>
      <c r="C65">
        <v>51</v>
      </c>
      <c r="D65" s="3" t="s">
        <v>6</v>
      </c>
      <c r="E65" s="3" t="s">
        <v>179</v>
      </c>
      <c r="F65" s="3" t="s">
        <v>180</v>
      </c>
      <c r="G65" s="8">
        <v>44391</v>
      </c>
      <c r="H65" s="8">
        <v>44391</v>
      </c>
      <c r="I65" s="8">
        <v>44409</v>
      </c>
      <c r="J65" s="8">
        <v>44409</v>
      </c>
      <c r="K65" s="8">
        <v>44409</v>
      </c>
      <c r="L65" s="9">
        <v>2</v>
      </c>
      <c r="M65" s="9"/>
      <c r="N65" s="8">
        <v>44349</v>
      </c>
    </row>
    <row r="66" spans="1:16" x14ac:dyDescent="0.2">
      <c r="A66">
        <v>68</v>
      </c>
      <c r="B66" s="28" t="s">
        <v>167</v>
      </c>
      <c r="C66">
        <v>58</v>
      </c>
      <c r="D66" s="3" t="s">
        <v>8</v>
      </c>
      <c r="E66" s="3" t="s">
        <v>179</v>
      </c>
      <c r="F66" s="3" t="s">
        <v>180</v>
      </c>
      <c r="G66" s="8">
        <v>44403</v>
      </c>
      <c r="H66" s="8">
        <v>44403</v>
      </c>
      <c r="I66" s="8">
        <v>44411</v>
      </c>
      <c r="J66" s="8">
        <v>44412</v>
      </c>
      <c r="K66" s="8">
        <v>44412</v>
      </c>
      <c r="L66" s="9">
        <v>2</v>
      </c>
      <c r="M66" s="9"/>
      <c r="N66" s="8">
        <v>44344</v>
      </c>
      <c r="O66">
        <f>VLOOKUP(A66,Sheet2!C69:F203,4,FALSE)</f>
        <v>35.71</v>
      </c>
      <c r="P66">
        <f>VLOOKUP(A66,Sheet2!C69:F203,4,FALSE)</f>
        <v>35.71</v>
      </c>
    </row>
    <row r="67" spans="1:16" x14ac:dyDescent="0.2">
      <c r="A67">
        <v>95</v>
      </c>
      <c r="B67" s="28" t="s">
        <v>168</v>
      </c>
      <c r="C67">
        <v>50</v>
      </c>
      <c r="D67" s="3" t="s">
        <v>7</v>
      </c>
      <c r="E67" s="3" t="s">
        <v>176</v>
      </c>
      <c r="F67" s="3" t="s">
        <v>177</v>
      </c>
      <c r="G67" s="8"/>
      <c r="H67" s="8"/>
      <c r="I67" s="8">
        <v>44413</v>
      </c>
      <c r="J67" s="8">
        <v>44416</v>
      </c>
      <c r="K67" s="8">
        <v>44416</v>
      </c>
      <c r="L67" s="9">
        <v>2</v>
      </c>
      <c r="M67" s="9" t="s">
        <v>196</v>
      </c>
      <c r="N67" s="8">
        <v>44313</v>
      </c>
      <c r="O67">
        <f>VLOOKUP(A67,Sheet2!C96:F230,4,FALSE)</f>
        <v>20.170000000000002</v>
      </c>
      <c r="P67">
        <f>VLOOKUP(A67,Sheet2!C96:F230,4,FALSE)</f>
        <v>20.170000000000002</v>
      </c>
    </row>
    <row r="68" spans="1:16" x14ac:dyDescent="0.2">
      <c r="A68">
        <v>96</v>
      </c>
      <c r="B68" s="28" t="s">
        <v>168</v>
      </c>
      <c r="C68">
        <v>56</v>
      </c>
      <c r="D68" s="3" t="s">
        <v>7</v>
      </c>
      <c r="E68" s="3" t="s">
        <v>176</v>
      </c>
      <c r="F68" s="3" t="s">
        <v>177</v>
      </c>
      <c r="G68" s="8"/>
      <c r="H68" s="8"/>
      <c r="I68" s="8">
        <v>44413</v>
      </c>
      <c r="J68" s="8">
        <v>44416</v>
      </c>
      <c r="K68" s="8">
        <v>44416</v>
      </c>
      <c r="L68" s="9">
        <v>2</v>
      </c>
      <c r="M68" s="9" t="s">
        <v>196</v>
      </c>
      <c r="N68" s="8">
        <v>44281</v>
      </c>
      <c r="O68">
        <f>VLOOKUP(A68,Sheet2!C97:F231,4,FALSE)</f>
        <v>28.5</v>
      </c>
      <c r="P68">
        <f>VLOOKUP(A68,Sheet2!C97:F231,4,FALSE)</f>
        <v>28.5</v>
      </c>
    </row>
    <row r="69" spans="1:16" x14ac:dyDescent="0.2">
      <c r="A69">
        <v>102</v>
      </c>
      <c r="B69" s="28" t="s">
        <v>167</v>
      </c>
      <c r="C69">
        <v>41</v>
      </c>
      <c r="D69" s="3" t="s">
        <v>8</v>
      </c>
      <c r="E69" s="3" t="s">
        <v>176</v>
      </c>
      <c r="F69" s="3" t="s">
        <v>177</v>
      </c>
      <c r="G69" s="8"/>
      <c r="H69" s="8"/>
      <c r="I69" s="8">
        <v>44414</v>
      </c>
      <c r="J69" s="8">
        <v>44416</v>
      </c>
      <c r="K69" s="8">
        <v>44416</v>
      </c>
      <c r="L69" s="9">
        <v>2</v>
      </c>
      <c r="M69" s="9" t="s">
        <v>196</v>
      </c>
      <c r="N69" s="8">
        <v>44280</v>
      </c>
      <c r="O69">
        <f>VLOOKUP(A69,Sheet2!C103:F237,4,FALSE)</f>
        <v>28.71</v>
      </c>
      <c r="P69">
        <f>VLOOKUP(A69,Sheet2!C103:F237,4,FALSE)</f>
        <v>28.71</v>
      </c>
    </row>
    <row r="70" spans="1:16" x14ac:dyDescent="0.2">
      <c r="A70">
        <v>103</v>
      </c>
      <c r="B70" s="28" t="s">
        <v>168</v>
      </c>
      <c r="C70">
        <v>35</v>
      </c>
      <c r="D70" s="3" t="s">
        <v>8</v>
      </c>
      <c r="E70" s="3" t="s">
        <v>176</v>
      </c>
      <c r="F70" s="3" t="s">
        <v>177</v>
      </c>
      <c r="G70" s="8"/>
      <c r="H70" s="8"/>
      <c r="I70" s="8">
        <v>44416</v>
      </c>
      <c r="J70" s="8">
        <v>44416</v>
      </c>
      <c r="K70" s="8">
        <v>44416</v>
      </c>
      <c r="L70" s="9">
        <v>2</v>
      </c>
      <c r="M70" s="9" t="s">
        <v>194</v>
      </c>
      <c r="N70" s="8">
        <v>44247</v>
      </c>
      <c r="O70">
        <f>VLOOKUP(A70,Sheet2!C104:F238,4,FALSE)</f>
        <v>24.71</v>
      </c>
      <c r="P70">
        <f>VLOOKUP(A70,Sheet2!C104:F238,4,FALSE)</f>
        <v>24.71</v>
      </c>
    </row>
    <row r="71" spans="1:16" x14ac:dyDescent="0.2">
      <c r="A71">
        <v>2</v>
      </c>
      <c r="B71" s="28" t="s">
        <v>167</v>
      </c>
      <c r="C71">
        <v>12</v>
      </c>
      <c r="D71" s="3" t="s">
        <v>7</v>
      </c>
      <c r="E71" s="3" t="s">
        <v>174</v>
      </c>
      <c r="F71" s="3" t="s">
        <v>175</v>
      </c>
      <c r="G71" s="8">
        <v>44401</v>
      </c>
      <c r="H71" s="8">
        <v>44401</v>
      </c>
      <c r="I71" s="8">
        <v>44404</v>
      </c>
      <c r="J71" s="8">
        <v>44405</v>
      </c>
      <c r="K71" s="8">
        <v>44405</v>
      </c>
      <c r="L71" s="7">
        <v>0</v>
      </c>
      <c r="M71" s="7"/>
      <c r="N71" s="8"/>
    </row>
    <row r="72" spans="1:16" x14ac:dyDescent="0.2">
      <c r="A72">
        <v>5</v>
      </c>
      <c r="B72" s="28" t="s">
        <v>167</v>
      </c>
      <c r="C72">
        <v>3</v>
      </c>
      <c r="D72" s="3" t="s">
        <v>6</v>
      </c>
      <c r="E72" s="3" t="s">
        <v>174</v>
      </c>
      <c r="F72" s="3" t="s">
        <v>175</v>
      </c>
      <c r="G72" s="8">
        <v>44401</v>
      </c>
      <c r="H72" s="8">
        <v>44401</v>
      </c>
      <c r="I72" s="8">
        <v>44406</v>
      </c>
      <c r="J72" s="8">
        <v>44406</v>
      </c>
      <c r="K72" s="8">
        <v>44406</v>
      </c>
      <c r="L72" s="7">
        <v>0</v>
      </c>
      <c r="M72" s="7"/>
      <c r="N72" s="8"/>
    </row>
    <row r="73" spans="1:16" x14ac:dyDescent="0.2">
      <c r="A73">
        <v>7</v>
      </c>
      <c r="B73" s="28" t="s">
        <v>167</v>
      </c>
      <c r="C73">
        <v>11</v>
      </c>
      <c r="D73" s="3" t="s">
        <v>8</v>
      </c>
      <c r="E73" s="3" t="s">
        <v>179</v>
      </c>
      <c r="F73" s="3" t="s">
        <v>180</v>
      </c>
      <c r="G73" s="8">
        <v>44401</v>
      </c>
      <c r="H73" s="8">
        <v>44401</v>
      </c>
      <c r="I73" s="8">
        <v>44406</v>
      </c>
      <c r="J73" s="8">
        <v>44406</v>
      </c>
      <c r="K73" s="8">
        <v>44406</v>
      </c>
      <c r="L73" s="7">
        <v>0</v>
      </c>
      <c r="M73" s="7"/>
      <c r="N73" s="8"/>
      <c r="O73">
        <f>VLOOKUP(A73,Sheet2!C8:F142,4,FALSE)</f>
        <v>37.520000000000003</v>
      </c>
      <c r="P73">
        <f>VLOOKUP(A73,Sheet2!C8:F142,4,FALSE)</f>
        <v>37.520000000000003</v>
      </c>
    </row>
    <row r="74" spans="1:16" x14ac:dyDescent="0.2">
      <c r="A74">
        <v>13</v>
      </c>
      <c r="B74" s="28" t="s">
        <v>167</v>
      </c>
      <c r="C74">
        <v>8</v>
      </c>
      <c r="D74" s="3" t="s">
        <v>7</v>
      </c>
      <c r="E74" s="3" t="s">
        <v>179</v>
      </c>
      <c r="F74" s="3" t="s">
        <v>180</v>
      </c>
      <c r="G74" s="8">
        <v>44401</v>
      </c>
      <c r="H74" s="8">
        <v>44401</v>
      </c>
      <c r="I74" s="8">
        <v>44407</v>
      </c>
      <c r="J74" s="8">
        <v>44407</v>
      </c>
      <c r="K74" s="8">
        <v>44407</v>
      </c>
      <c r="L74" s="7">
        <v>0</v>
      </c>
      <c r="M74" s="7"/>
      <c r="N74" s="8"/>
    </row>
    <row r="75" spans="1:16" x14ac:dyDescent="0.2">
      <c r="A75">
        <v>14</v>
      </c>
      <c r="B75" s="28" t="s">
        <v>167</v>
      </c>
      <c r="C75">
        <v>6</v>
      </c>
      <c r="D75" s="3" t="s">
        <v>7</v>
      </c>
      <c r="E75" s="3" t="s">
        <v>179</v>
      </c>
      <c r="F75" s="3" t="s">
        <v>180</v>
      </c>
      <c r="G75" s="8">
        <v>44401</v>
      </c>
      <c r="H75" s="8">
        <v>44401</v>
      </c>
      <c r="I75" s="8">
        <v>44407</v>
      </c>
      <c r="J75" s="8">
        <v>44407</v>
      </c>
      <c r="K75" s="8">
        <v>44407</v>
      </c>
      <c r="L75" s="7">
        <v>0</v>
      </c>
      <c r="M75" s="7"/>
      <c r="N75" s="8"/>
    </row>
    <row r="76" spans="1:16" x14ac:dyDescent="0.2">
      <c r="A76">
        <v>20</v>
      </c>
      <c r="B76" s="28" t="s">
        <v>168</v>
      </c>
      <c r="C76">
        <v>37</v>
      </c>
      <c r="D76" s="3" t="s">
        <v>7</v>
      </c>
      <c r="E76" s="3" t="s">
        <v>179</v>
      </c>
      <c r="F76" s="3" t="s">
        <v>180</v>
      </c>
      <c r="G76" s="8">
        <v>44403</v>
      </c>
      <c r="H76" s="8">
        <v>44403</v>
      </c>
      <c r="I76" s="8">
        <v>44407</v>
      </c>
      <c r="J76" s="8">
        <v>44407</v>
      </c>
      <c r="K76" s="8">
        <v>44407</v>
      </c>
      <c r="L76" s="7">
        <v>0</v>
      </c>
      <c r="M76" s="7"/>
      <c r="N76" s="8"/>
      <c r="O76">
        <f>VLOOKUP(A76,Sheet2!C21:F155,4,FALSE)</f>
        <v>36</v>
      </c>
      <c r="P76">
        <f>VLOOKUP(A76,Sheet2!C21:F155,4,FALSE)</f>
        <v>36</v>
      </c>
    </row>
    <row r="77" spans="1:16" x14ac:dyDescent="0.2">
      <c r="A77">
        <v>21</v>
      </c>
      <c r="B77" s="28" t="s">
        <v>167</v>
      </c>
      <c r="C77">
        <v>9</v>
      </c>
      <c r="D77" s="3" t="s">
        <v>7</v>
      </c>
      <c r="E77" s="3" t="s">
        <v>179</v>
      </c>
      <c r="F77" s="3" t="s">
        <v>180</v>
      </c>
      <c r="G77" s="8">
        <v>44402</v>
      </c>
      <c r="H77" s="8">
        <v>44402</v>
      </c>
      <c r="I77" s="8">
        <v>44407</v>
      </c>
      <c r="J77" s="8">
        <v>44407</v>
      </c>
      <c r="K77" s="8">
        <v>44407</v>
      </c>
      <c r="L77" s="7">
        <v>0</v>
      </c>
      <c r="M77" s="7"/>
      <c r="N77" s="8"/>
      <c r="O77">
        <f>VLOOKUP(A77,Sheet2!C22:F156,4,FALSE)</f>
        <v>27.7</v>
      </c>
      <c r="P77">
        <f>VLOOKUP(A77,Sheet2!C22:F156,4,FALSE)</f>
        <v>27.7</v>
      </c>
    </row>
    <row r="78" spans="1:16" x14ac:dyDescent="0.2">
      <c r="A78">
        <v>22</v>
      </c>
      <c r="B78" s="28" t="s">
        <v>167</v>
      </c>
      <c r="C78">
        <v>8</v>
      </c>
      <c r="D78" s="3" t="s">
        <v>7</v>
      </c>
      <c r="E78" s="3" t="s">
        <v>179</v>
      </c>
      <c r="F78" s="3" t="s">
        <v>180</v>
      </c>
      <c r="G78" s="8">
        <v>44401</v>
      </c>
      <c r="H78" s="8">
        <v>44401</v>
      </c>
      <c r="I78" s="8">
        <v>44407</v>
      </c>
      <c r="J78" s="8">
        <v>44407</v>
      </c>
      <c r="K78" s="8">
        <v>44407</v>
      </c>
      <c r="L78" s="7">
        <v>0</v>
      </c>
      <c r="M78" s="7"/>
      <c r="N78" s="8"/>
    </row>
    <row r="79" spans="1:16" x14ac:dyDescent="0.2">
      <c r="A79">
        <v>23</v>
      </c>
      <c r="B79" s="28" t="s">
        <v>168</v>
      </c>
      <c r="C79">
        <v>14</v>
      </c>
      <c r="D79" s="3" t="s">
        <v>8</v>
      </c>
      <c r="E79" s="3" t="s">
        <v>179</v>
      </c>
      <c r="F79" s="3" t="s">
        <v>180</v>
      </c>
      <c r="G79" s="8">
        <v>44402</v>
      </c>
      <c r="H79" s="8">
        <v>44402</v>
      </c>
      <c r="I79" s="8">
        <v>44407</v>
      </c>
      <c r="J79" s="8">
        <v>44407</v>
      </c>
      <c r="K79" s="8">
        <v>44407</v>
      </c>
      <c r="L79" s="7">
        <v>0</v>
      </c>
      <c r="M79" s="7"/>
      <c r="N79" s="8"/>
      <c r="O79">
        <f>VLOOKUP(A79,Sheet2!C24:F158,4,FALSE)</f>
        <v>30</v>
      </c>
      <c r="P79">
        <f>VLOOKUP(A79,Sheet2!C24:F158,4,FALSE)</f>
        <v>30</v>
      </c>
    </row>
    <row r="80" spans="1:16" x14ac:dyDescent="0.2">
      <c r="A80">
        <v>24</v>
      </c>
      <c r="B80" s="28" t="s">
        <v>167</v>
      </c>
      <c r="C80">
        <v>40</v>
      </c>
      <c r="D80" s="3" t="s">
        <v>7</v>
      </c>
      <c r="E80" s="3" t="s">
        <v>179</v>
      </c>
      <c r="F80" s="3" t="s">
        <v>180</v>
      </c>
      <c r="G80" s="8">
        <v>44402</v>
      </c>
      <c r="H80" s="8">
        <v>44402</v>
      </c>
      <c r="I80" s="8">
        <v>44407</v>
      </c>
      <c r="J80" s="8">
        <v>44408</v>
      </c>
      <c r="K80" s="8">
        <v>44408</v>
      </c>
      <c r="L80" s="7">
        <v>0</v>
      </c>
      <c r="M80" s="7"/>
      <c r="N80" s="8"/>
      <c r="O80">
        <f>VLOOKUP(A80,Sheet2!C25:F159,4,FALSE)</f>
        <v>32.32</v>
      </c>
      <c r="P80">
        <f>VLOOKUP(A80,Sheet2!C25:F159,4,FALSE)</f>
        <v>32.32</v>
      </c>
    </row>
    <row r="81" spans="1:16" x14ac:dyDescent="0.2">
      <c r="A81">
        <v>29</v>
      </c>
      <c r="B81" s="28" t="s">
        <v>167</v>
      </c>
      <c r="C81">
        <v>9</v>
      </c>
      <c r="D81" s="3" t="s">
        <v>6</v>
      </c>
      <c r="E81" s="3" t="s">
        <v>176</v>
      </c>
      <c r="F81" s="3" t="s">
        <v>177</v>
      </c>
      <c r="G81" s="8">
        <v>44406</v>
      </c>
      <c r="H81" s="8">
        <v>44406</v>
      </c>
      <c r="I81" s="8">
        <v>44408</v>
      </c>
      <c r="J81" s="8">
        <v>44408</v>
      </c>
      <c r="K81" s="8">
        <v>44408</v>
      </c>
      <c r="L81" s="7">
        <v>0</v>
      </c>
      <c r="M81" s="7"/>
      <c r="N81" s="8"/>
    </row>
    <row r="82" spans="1:16" x14ac:dyDescent="0.2">
      <c r="A82">
        <v>30</v>
      </c>
      <c r="B82" s="28" t="s">
        <v>168</v>
      </c>
      <c r="C82">
        <v>8</v>
      </c>
      <c r="D82" s="3" t="s">
        <v>6</v>
      </c>
      <c r="E82" s="3" t="s">
        <v>172</v>
      </c>
      <c r="F82" s="3" t="s">
        <v>178</v>
      </c>
      <c r="G82" s="8">
        <v>44401</v>
      </c>
      <c r="H82" s="8">
        <v>44401</v>
      </c>
      <c r="I82" s="8">
        <v>44408</v>
      </c>
      <c r="J82" s="8">
        <v>44408</v>
      </c>
      <c r="K82" s="8">
        <v>44408</v>
      </c>
      <c r="L82" s="7">
        <v>0</v>
      </c>
      <c r="M82" s="7"/>
      <c r="N82" s="8"/>
    </row>
    <row r="83" spans="1:16" x14ac:dyDescent="0.2">
      <c r="A83">
        <v>31</v>
      </c>
      <c r="B83" s="28" t="s">
        <v>167</v>
      </c>
      <c r="C83">
        <v>3</v>
      </c>
      <c r="D83" s="3" t="s">
        <v>6</v>
      </c>
      <c r="E83" s="3" t="s">
        <v>183</v>
      </c>
      <c r="F83" s="3" t="s">
        <v>184</v>
      </c>
      <c r="G83" s="8">
        <v>44401</v>
      </c>
      <c r="H83" s="8">
        <v>44401</v>
      </c>
      <c r="I83" s="8">
        <v>44406</v>
      </c>
      <c r="J83" s="8">
        <v>44408</v>
      </c>
      <c r="K83" s="8">
        <v>44408</v>
      </c>
      <c r="L83" s="7">
        <v>0</v>
      </c>
      <c r="M83" s="7"/>
      <c r="N83" s="8"/>
    </row>
    <row r="84" spans="1:16" x14ac:dyDescent="0.2">
      <c r="A84">
        <v>32</v>
      </c>
      <c r="B84" s="28" t="s">
        <v>167</v>
      </c>
      <c r="C84">
        <v>65</v>
      </c>
      <c r="D84" s="3" t="s">
        <v>7</v>
      </c>
      <c r="E84" s="3" t="s">
        <v>181</v>
      </c>
      <c r="F84" s="3" t="s">
        <v>182</v>
      </c>
      <c r="G84" s="8">
        <v>44400</v>
      </c>
      <c r="H84" s="8">
        <v>44400</v>
      </c>
      <c r="I84" s="8">
        <v>44408</v>
      </c>
      <c r="J84" s="8">
        <v>44409</v>
      </c>
      <c r="K84" s="8">
        <v>44409</v>
      </c>
      <c r="L84" s="7">
        <v>0</v>
      </c>
      <c r="M84" s="7"/>
      <c r="N84" s="8"/>
      <c r="O84">
        <f>VLOOKUP(A84,Sheet2!C33:F167,4,FALSE)</f>
        <v>27.04</v>
      </c>
      <c r="P84">
        <f>VLOOKUP(A84,Sheet2!C33:F167,4,FALSE)</f>
        <v>27.04</v>
      </c>
    </row>
    <row r="85" spans="1:16" x14ac:dyDescent="0.2">
      <c r="A85">
        <v>33</v>
      </c>
      <c r="B85" s="28" t="s">
        <v>168</v>
      </c>
      <c r="C85">
        <v>61</v>
      </c>
      <c r="D85" s="3" t="s">
        <v>7</v>
      </c>
      <c r="E85" s="3" t="s">
        <v>181</v>
      </c>
      <c r="F85" s="3" t="s">
        <v>182</v>
      </c>
      <c r="G85" s="8">
        <v>44400</v>
      </c>
      <c r="H85" s="8">
        <v>44400</v>
      </c>
      <c r="I85" s="8">
        <v>44408</v>
      </c>
      <c r="J85" s="8">
        <v>44409</v>
      </c>
      <c r="K85" s="8">
        <v>44409</v>
      </c>
      <c r="L85" s="7">
        <v>0</v>
      </c>
      <c r="M85" s="7"/>
      <c r="N85" s="8"/>
      <c r="O85">
        <f>VLOOKUP(A85,Sheet2!C34:F168,4,FALSE)</f>
        <v>28.75</v>
      </c>
      <c r="P85">
        <f>VLOOKUP(A85,Sheet2!C34:F168,4,FALSE)</f>
        <v>28.75</v>
      </c>
    </row>
    <row r="86" spans="1:16" x14ac:dyDescent="0.2">
      <c r="A86">
        <v>34</v>
      </c>
      <c r="B86" s="28" t="s">
        <v>168</v>
      </c>
      <c r="C86">
        <v>9</v>
      </c>
      <c r="D86" s="3" t="s">
        <v>6</v>
      </c>
      <c r="E86" s="3" t="s">
        <v>181</v>
      </c>
      <c r="F86" s="3" t="s">
        <v>182</v>
      </c>
      <c r="G86" s="8">
        <v>44398</v>
      </c>
      <c r="H86" s="8">
        <v>44398</v>
      </c>
      <c r="I86" s="8">
        <v>44408</v>
      </c>
      <c r="J86" s="8">
        <v>44409</v>
      </c>
      <c r="K86" s="8">
        <v>44409</v>
      </c>
      <c r="L86" s="7">
        <v>0</v>
      </c>
      <c r="M86" s="7"/>
      <c r="N86" s="8"/>
      <c r="O86">
        <f>VLOOKUP(A86,Sheet2!C35:F169,4,FALSE)</f>
        <v>31.74</v>
      </c>
      <c r="P86">
        <f>VLOOKUP(A86,Sheet2!C35:F169,4,FALSE)</f>
        <v>31.74</v>
      </c>
    </row>
    <row r="87" spans="1:16" x14ac:dyDescent="0.2">
      <c r="A87">
        <v>35</v>
      </c>
      <c r="B87" s="28" t="s">
        <v>167</v>
      </c>
      <c r="C87">
        <v>69</v>
      </c>
      <c r="D87" s="3" t="s">
        <v>7</v>
      </c>
      <c r="E87" s="3" t="s">
        <v>181</v>
      </c>
      <c r="F87" s="3" t="s">
        <v>182</v>
      </c>
      <c r="G87" s="8">
        <v>44400</v>
      </c>
      <c r="H87" s="8">
        <v>44400</v>
      </c>
      <c r="I87" s="8">
        <v>44408</v>
      </c>
      <c r="J87" s="8">
        <v>44409</v>
      </c>
      <c r="K87" s="8">
        <v>44409</v>
      </c>
      <c r="L87" s="7">
        <v>0</v>
      </c>
      <c r="M87" s="7"/>
      <c r="N87" s="8"/>
      <c r="O87">
        <f>VLOOKUP(A87,Sheet2!C36:F170,4,FALSE)</f>
        <v>27.45</v>
      </c>
      <c r="P87">
        <f>VLOOKUP(A87,Sheet2!C36:F170,4,FALSE)</f>
        <v>27.45</v>
      </c>
    </row>
    <row r="88" spans="1:16" x14ac:dyDescent="0.2">
      <c r="A88">
        <v>39</v>
      </c>
      <c r="B88" s="28" t="s">
        <v>167</v>
      </c>
      <c r="C88">
        <v>7</v>
      </c>
      <c r="D88" s="3" t="s">
        <v>6</v>
      </c>
      <c r="E88" s="3" t="s">
        <v>176</v>
      </c>
      <c r="F88" s="3" t="s">
        <v>177</v>
      </c>
      <c r="G88" s="8">
        <v>44400</v>
      </c>
      <c r="H88" s="8">
        <v>44400</v>
      </c>
      <c r="I88" s="8">
        <v>44409</v>
      </c>
      <c r="J88" s="8">
        <v>44409</v>
      </c>
      <c r="K88" s="8">
        <v>44409</v>
      </c>
      <c r="L88" s="7">
        <v>0</v>
      </c>
      <c r="M88" s="7"/>
      <c r="N88" s="8"/>
    </row>
    <row r="89" spans="1:16" x14ac:dyDescent="0.2">
      <c r="A89">
        <v>41</v>
      </c>
      <c r="B89" s="28" t="s">
        <v>168</v>
      </c>
      <c r="C89">
        <v>32</v>
      </c>
      <c r="D89" s="3" t="s">
        <v>7</v>
      </c>
      <c r="E89" s="3" t="s">
        <v>179</v>
      </c>
      <c r="F89" s="3" t="s">
        <v>188</v>
      </c>
      <c r="G89" s="8">
        <v>44403</v>
      </c>
      <c r="H89" s="8">
        <v>44403</v>
      </c>
      <c r="I89" s="8">
        <v>44409</v>
      </c>
      <c r="J89" s="8">
        <v>44409</v>
      </c>
      <c r="K89" s="8">
        <v>44409</v>
      </c>
      <c r="L89" s="7">
        <v>0</v>
      </c>
      <c r="M89" s="7"/>
      <c r="N89" s="8"/>
      <c r="O89">
        <f>VLOOKUP(A89,Sheet2!C42:F176,4,FALSE)</f>
        <v>32.700000000000003</v>
      </c>
      <c r="P89">
        <f>VLOOKUP(A89,Sheet2!C42:F176,4,FALSE)</f>
        <v>32.700000000000003</v>
      </c>
    </row>
    <row r="90" spans="1:16" x14ac:dyDescent="0.2">
      <c r="A90">
        <v>42</v>
      </c>
      <c r="B90" s="28" t="s">
        <v>167</v>
      </c>
      <c r="C90">
        <v>34</v>
      </c>
      <c r="D90" s="3" t="s">
        <v>7</v>
      </c>
      <c r="E90" s="3" t="s">
        <v>179</v>
      </c>
      <c r="F90" s="3" t="s">
        <v>188</v>
      </c>
      <c r="G90" s="8">
        <v>44403</v>
      </c>
      <c r="H90" s="8">
        <v>44403</v>
      </c>
      <c r="I90" s="8">
        <v>44409</v>
      </c>
      <c r="J90" s="8">
        <v>44409</v>
      </c>
      <c r="K90" s="8">
        <v>44409</v>
      </c>
      <c r="L90" s="7">
        <v>0</v>
      </c>
      <c r="M90" s="7"/>
      <c r="N90" s="8"/>
      <c r="O90">
        <f>VLOOKUP(A90,Sheet2!C43:F177,4,FALSE)</f>
        <v>26.1</v>
      </c>
      <c r="P90">
        <f>VLOOKUP(A90,Sheet2!C43:F177,4,FALSE)</f>
        <v>26.1</v>
      </c>
    </row>
    <row r="91" spans="1:16" x14ac:dyDescent="0.2">
      <c r="A91">
        <v>43</v>
      </c>
      <c r="B91" s="28" t="s">
        <v>168</v>
      </c>
      <c r="C91">
        <v>9</v>
      </c>
      <c r="D91" s="3" t="s">
        <v>8</v>
      </c>
      <c r="E91" s="3" t="s">
        <v>179</v>
      </c>
      <c r="F91" s="3" t="s">
        <v>188</v>
      </c>
      <c r="G91" s="8">
        <v>44403</v>
      </c>
      <c r="H91" s="8">
        <v>44403</v>
      </c>
      <c r="I91" s="8">
        <v>44409</v>
      </c>
      <c r="J91" s="8">
        <v>44409</v>
      </c>
      <c r="K91" s="8">
        <v>44409</v>
      </c>
      <c r="L91" s="7">
        <v>0</v>
      </c>
      <c r="M91" s="7"/>
      <c r="N91" s="8"/>
      <c r="O91">
        <f>VLOOKUP(A91,Sheet2!C44:F178,4,FALSE)</f>
        <v>20.16</v>
      </c>
      <c r="P91">
        <f>VLOOKUP(A91,Sheet2!C44:F178,4,FALSE)</f>
        <v>20.16</v>
      </c>
    </row>
    <row r="92" spans="1:16" x14ac:dyDescent="0.2">
      <c r="A92">
        <v>45</v>
      </c>
      <c r="B92" s="28" t="s">
        <v>168</v>
      </c>
      <c r="C92">
        <v>17</v>
      </c>
      <c r="D92" s="3" t="s">
        <v>7</v>
      </c>
      <c r="E92" s="3" t="s">
        <v>179</v>
      </c>
      <c r="F92" s="3" t="s">
        <v>188</v>
      </c>
      <c r="G92" s="8">
        <v>44402</v>
      </c>
      <c r="H92" s="8">
        <v>44402</v>
      </c>
      <c r="I92" s="8">
        <v>44409</v>
      </c>
      <c r="J92" s="8">
        <v>44409</v>
      </c>
      <c r="K92" s="8">
        <v>44409</v>
      </c>
      <c r="L92" s="7">
        <v>0</v>
      </c>
      <c r="M92" s="7"/>
      <c r="N92" s="8"/>
      <c r="O92">
        <f>VLOOKUP(A92,Sheet2!C46:F180,4,FALSE)</f>
        <v>38.200000000000003</v>
      </c>
      <c r="P92">
        <f>VLOOKUP(A92,Sheet2!C46:F180,4,FALSE)</f>
        <v>38.200000000000003</v>
      </c>
    </row>
    <row r="93" spans="1:16" x14ac:dyDescent="0.2">
      <c r="A93">
        <v>48</v>
      </c>
      <c r="B93" s="28" t="s">
        <v>167</v>
      </c>
      <c r="C93">
        <v>4</v>
      </c>
      <c r="D93" s="3" t="s">
        <v>7</v>
      </c>
      <c r="E93" s="3" t="s">
        <v>179</v>
      </c>
      <c r="F93" s="3" t="s">
        <v>180</v>
      </c>
      <c r="G93" s="8">
        <v>44403</v>
      </c>
      <c r="H93" s="8">
        <v>44403</v>
      </c>
      <c r="I93" s="8">
        <v>44409</v>
      </c>
      <c r="J93" s="8">
        <v>44410</v>
      </c>
      <c r="K93" s="8">
        <v>44410</v>
      </c>
      <c r="L93" s="7">
        <v>0</v>
      </c>
      <c r="M93" s="7"/>
      <c r="N93" s="8"/>
      <c r="O93">
        <f>VLOOKUP(A93,Sheet2!C49:F183,4,FALSE)</f>
        <v>31.6</v>
      </c>
      <c r="P93">
        <f>VLOOKUP(A93,Sheet2!C49:F183,4,FALSE)</f>
        <v>31.6</v>
      </c>
    </row>
    <row r="94" spans="1:16" x14ac:dyDescent="0.2">
      <c r="A94">
        <v>52</v>
      </c>
      <c r="B94" s="28" t="s">
        <v>168</v>
      </c>
      <c r="C94">
        <v>7</v>
      </c>
      <c r="D94" s="3" t="s">
        <v>6</v>
      </c>
      <c r="E94" s="3" t="s">
        <v>176</v>
      </c>
      <c r="F94" s="3" t="s">
        <v>177</v>
      </c>
      <c r="G94" s="8">
        <v>44404</v>
      </c>
      <c r="H94" s="8">
        <v>44404</v>
      </c>
      <c r="I94" s="8">
        <v>44410</v>
      </c>
      <c r="J94" s="8">
        <v>44410</v>
      </c>
      <c r="K94" s="8">
        <v>44410</v>
      </c>
      <c r="L94" s="7">
        <v>0</v>
      </c>
      <c r="M94" s="7"/>
      <c r="N94" s="8"/>
      <c r="O94">
        <f>VLOOKUP(A94,Sheet2!C53:F187,4,FALSE)</f>
        <v>39.83</v>
      </c>
      <c r="P94">
        <f>VLOOKUP(A94,Sheet2!C53:F187,4,FALSE)</f>
        <v>39.83</v>
      </c>
    </row>
    <row r="95" spans="1:16" x14ac:dyDescent="0.2">
      <c r="A95">
        <v>56</v>
      </c>
      <c r="B95" s="28" t="s">
        <v>167</v>
      </c>
      <c r="C95">
        <v>9</v>
      </c>
      <c r="D95" s="3" t="s">
        <v>8</v>
      </c>
      <c r="E95" s="3" t="s">
        <v>176</v>
      </c>
      <c r="F95" s="3" t="s">
        <v>177</v>
      </c>
      <c r="G95" s="8">
        <v>44397</v>
      </c>
      <c r="H95" s="8">
        <v>44397</v>
      </c>
      <c r="I95" s="8">
        <v>44409</v>
      </c>
      <c r="J95" s="8">
        <v>44411</v>
      </c>
      <c r="K95" s="8">
        <v>44411</v>
      </c>
      <c r="L95" s="7">
        <v>0</v>
      </c>
      <c r="M95" s="7"/>
      <c r="N95" s="8"/>
      <c r="O95">
        <f>VLOOKUP(A95,Sheet2!C57:F191,4,FALSE)</f>
        <v>39.92</v>
      </c>
      <c r="P95">
        <f>VLOOKUP(A95,Sheet2!C57:F191,4,FALSE)</f>
        <v>39.92</v>
      </c>
    </row>
    <row r="96" spans="1:16" x14ac:dyDescent="0.2">
      <c r="A96">
        <v>59</v>
      </c>
      <c r="B96" s="28" t="s">
        <v>167</v>
      </c>
      <c r="C96">
        <v>13</v>
      </c>
      <c r="D96" s="3" t="s">
        <v>6</v>
      </c>
      <c r="E96" s="3" t="s">
        <v>183</v>
      </c>
      <c r="F96" s="3" t="s">
        <v>184</v>
      </c>
      <c r="G96" s="8">
        <v>44401</v>
      </c>
      <c r="H96" s="8">
        <v>44401</v>
      </c>
      <c r="I96" s="8">
        <v>44411</v>
      </c>
      <c r="J96" s="8">
        <v>44411</v>
      </c>
      <c r="K96" s="8">
        <v>44411</v>
      </c>
      <c r="L96" s="7">
        <v>0</v>
      </c>
      <c r="M96" s="7"/>
      <c r="N96" s="8"/>
    </row>
    <row r="97" spans="1:16" x14ac:dyDescent="0.2">
      <c r="A97">
        <v>61</v>
      </c>
      <c r="B97" s="28" t="s">
        <v>168</v>
      </c>
      <c r="C97">
        <v>60</v>
      </c>
      <c r="D97" s="3" t="s">
        <v>9</v>
      </c>
      <c r="E97" s="3" t="s">
        <v>176</v>
      </c>
      <c r="F97" s="3" t="s">
        <v>190</v>
      </c>
      <c r="G97" s="8">
        <v>44394</v>
      </c>
      <c r="H97" s="8">
        <v>44394</v>
      </c>
      <c r="I97" s="8">
        <v>44409</v>
      </c>
      <c r="J97" s="8">
        <v>44412</v>
      </c>
      <c r="K97" s="8">
        <v>44412</v>
      </c>
      <c r="L97" s="7">
        <v>0</v>
      </c>
      <c r="M97" s="7"/>
      <c r="N97" s="8"/>
      <c r="O97">
        <f>VLOOKUP(A97,Sheet2!C62:F196,4,FALSE)</f>
        <v>37.880000000000003</v>
      </c>
      <c r="P97">
        <f>VLOOKUP(A97,Sheet2!C62:F196,4,FALSE)</f>
        <v>37.880000000000003</v>
      </c>
    </row>
    <row r="98" spans="1:16" x14ac:dyDescent="0.2">
      <c r="A98">
        <v>63</v>
      </c>
      <c r="B98" s="28" t="s">
        <v>168</v>
      </c>
      <c r="C98">
        <v>16</v>
      </c>
      <c r="D98" s="3" t="s">
        <v>7</v>
      </c>
      <c r="E98" s="3" t="s">
        <v>176</v>
      </c>
      <c r="F98" s="3" t="s">
        <v>191</v>
      </c>
      <c r="G98" s="8">
        <v>44405</v>
      </c>
      <c r="H98" s="8">
        <v>44405</v>
      </c>
      <c r="I98" s="8">
        <v>44412</v>
      </c>
      <c r="J98" s="8">
        <v>44412</v>
      </c>
      <c r="K98" s="8">
        <v>44412</v>
      </c>
      <c r="L98" s="7">
        <v>0</v>
      </c>
      <c r="M98" s="7"/>
      <c r="N98" s="8"/>
      <c r="O98">
        <f>VLOOKUP(A98,Sheet2!C64:F198,4,FALSE)</f>
        <v>15.49</v>
      </c>
      <c r="P98">
        <f>VLOOKUP(A98,Sheet2!C64:F198,4,FALSE)</f>
        <v>15.49</v>
      </c>
    </row>
    <row r="99" spans="1:16" x14ac:dyDescent="0.2">
      <c r="A99">
        <v>64</v>
      </c>
      <c r="B99" s="28" t="s">
        <v>168</v>
      </c>
      <c r="C99">
        <v>15</v>
      </c>
      <c r="D99" s="3" t="s">
        <v>7</v>
      </c>
      <c r="E99" s="3" t="s">
        <v>176</v>
      </c>
      <c r="F99" s="3" t="s">
        <v>177</v>
      </c>
      <c r="G99" s="8">
        <v>44405</v>
      </c>
      <c r="H99" s="8">
        <v>44405</v>
      </c>
      <c r="I99" s="8">
        <v>44412</v>
      </c>
      <c r="J99" s="8">
        <v>44412</v>
      </c>
      <c r="K99" s="8">
        <v>44412</v>
      </c>
      <c r="L99" s="7">
        <v>0</v>
      </c>
      <c r="M99" s="7"/>
      <c r="N99" s="8"/>
      <c r="O99">
        <f>VLOOKUP(A99,Sheet2!C65:F199,4,FALSE)</f>
        <v>26.01</v>
      </c>
      <c r="P99">
        <f>VLOOKUP(A99,Sheet2!C65:F199,4,FALSE)</f>
        <v>26.01</v>
      </c>
    </row>
    <row r="100" spans="1:16" x14ac:dyDescent="0.2">
      <c r="A100">
        <v>65</v>
      </c>
      <c r="B100" s="28" t="s">
        <v>168</v>
      </c>
      <c r="C100">
        <v>42</v>
      </c>
      <c r="D100" s="3" t="s">
        <v>7</v>
      </c>
      <c r="E100" s="3" t="s">
        <v>176</v>
      </c>
      <c r="F100" s="3" t="s">
        <v>177</v>
      </c>
      <c r="G100" s="8">
        <v>44401</v>
      </c>
      <c r="H100" s="8">
        <v>44401</v>
      </c>
      <c r="I100" s="8">
        <v>44412</v>
      </c>
      <c r="J100" s="8">
        <v>44412</v>
      </c>
      <c r="K100" s="8">
        <v>44412</v>
      </c>
      <c r="L100" s="7">
        <v>0</v>
      </c>
      <c r="M100" s="7"/>
      <c r="N100" s="8"/>
      <c r="O100">
        <f>VLOOKUP(A100,Sheet2!C66:F200,4,FALSE)</f>
        <v>19.16</v>
      </c>
      <c r="P100">
        <f>VLOOKUP(A100,Sheet2!C66:F200,4,FALSE)</f>
        <v>19.16</v>
      </c>
    </row>
    <row r="101" spans="1:16" x14ac:dyDescent="0.2">
      <c r="A101">
        <v>66</v>
      </c>
      <c r="B101" s="28" t="s">
        <v>168</v>
      </c>
      <c r="C101">
        <v>15</v>
      </c>
      <c r="D101" s="3" t="s">
        <v>8</v>
      </c>
      <c r="E101" s="3" t="s">
        <v>179</v>
      </c>
      <c r="F101" s="3" t="s">
        <v>189</v>
      </c>
      <c r="G101" s="8">
        <v>44403</v>
      </c>
      <c r="H101" s="8">
        <v>44403</v>
      </c>
      <c r="I101" s="8">
        <v>44408</v>
      </c>
      <c r="J101" s="8">
        <v>44412</v>
      </c>
      <c r="K101" s="8">
        <v>44412</v>
      </c>
      <c r="L101" s="7">
        <v>0</v>
      </c>
      <c r="M101" s="7"/>
      <c r="N101" s="8"/>
      <c r="O101">
        <f>VLOOKUP(A101,Sheet2!C67:F201,4,FALSE)</f>
        <v>38.200000000000003</v>
      </c>
      <c r="P101">
        <f>VLOOKUP(A101,Sheet2!C67:F201,4,FALSE)</f>
        <v>38.200000000000003</v>
      </c>
    </row>
    <row r="102" spans="1:16" x14ac:dyDescent="0.2">
      <c r="A102">
        <v>70</v>
      </c>
      <c r="B102" s="28" t="s">
        <v>167</v>
      </c>
      <c r="C102">
        <v>17</v>
      </c>
      <c r="D102" s="3" t="s">
        <v>8</v>
      </c>
      <c r="E102" s="3" t="s">
        <v>176</v>
      </c>
      <c r="F102" s="3" t="s">
        <v>177</v>
      </c>
      <c r="G102" s="8"/>
      <c r="H102" s="8"/>
      <c r="I102" s="8">
        <v>44411</v>
      </c>
      <c r="J102" s="8">
        <v>44412</v>
      </c>
      <c r="K102" s="8">
        <v>44412</v>
      </c>
      <c r="L102" s="7">
        <v>0</v>
      </c>
      <c r="M102" s="7"/>
      <c r="N102" s="8"/>
    </row>
    <row r="103" spans="1:16" x14ac:dyDescent="0.2">
      <c r="A103">
        <v>72</v>
      </c>
      <c r="B103" s="28" t="s">
        <v>167</v>
      </c>
      <c r="C103">
        <v>8</v>
      </c>
      <c r="D103" s="3" t="s">
        <v>7</v>
      </c>
      <c r="E103" s="3" t="s">
        <v>176</v>
      </c>
      <c r="F103" s="3" t="s">
        <v>177</v>
      </c>
      <c r="G103" s="8">
        <v>44403</v>
      </c>
      <c r="H103" s="8">
        <v>44403</v>
      </c>
      <c r="I103" s="8">
        <v>44411</v>
      </c>
      <c r="J103" s="8">
        <v>44412</v>
      </c>
      <c r="K103" s="8">
        <v>44412</v>
      </c>
      <c r="L103" s="7">
        <v>0</v>
      </c>
      <c r="M103" s="7"/>
      <c r="N103" s="8"/>
      <c r="O103">
        <f>VLOOKUP(A103,Sheet2!C73:F207,4,FALSE)</f>
        <v>35.1</v>
      </c>
      <c r="P103">
        <f>VLOOKUP(A103,Sheet2!C73:F207,4,FALSE)</f>
        <v>35.1</v>
      </c>
    </row>
    <row r="104" spans="1:16" x14ac:dyDescent="0.2">
      <c r="A104">
        <v>74</v>
      </c>
      <c r="B104" s="28" t="s">
        <v>167</v>
      </c>
      <c r="C104">
        <v>64</v>
      </c>
      <c r="D104" s="3" t="s">
        <v>8</v>
      </c>
      <c r="E104" s="3" t="s">
        <v>179</v>
      </c>
      <c r="F104" s="3" t="s">
        <v>180</v>
      </c>
      <c r="G104" s="8">
        <v>44402</v>
      </c>
      <c r="H104" s="8">
        <v>44402</v>
      </c>
      <c r="I104" s="8">
        <v>44411</v>
      </c>
      <c r="J104" s="8">
        <v>44412</v>
      </c>
      <c r="K104" s="8">
        <v>44412</v>
      </c>
      <c r="L104" s="7">
        <v>0</v>
      </c>
      <c r="M104" s="7"/>
      <c r="N104" s="8"/>
      <c r="O104">
        <f>VLOOKUP(A104,Sheet2!C75:F209,4,FALSE)</f>
        <v>24.5</v>
      </c>
      <c r="P104">
        <f>VLOOKUP(A104,Sheet2!C75:F209,4,FALSE)</f>
        <v>24.5</v>
      </c>
    </row>
    <row r="105" spans="1:16" x14ac:dyDescent="0.2">
      <c r="A105">
        <v>75</v>
      </c>
      <c r="B105" s="28" t="s">
        <v>168</v>
      </c>
      <c r="C105">
        <v>11</v>
      </c>
      <c r="D105" s="3" t="s">
        <v>6</v>
      </c>
      <c r="E105" s="3" t="s">
        <v>179</v>
      </c>
      <c r="F105" s="3" t="s">
        <v>180</v>
      </c>
      <c r="G105" s="8">
        <v>44403</v>
      </c>
      <c r="H105" s="8">
        <v>44403</v>
      </c>
      <c r="I105" s="8">
        <v>44411</v>
      </c>
      <c r="J105" s="8">
        <v>44412</v>
      </c>
      <c r="K105" s="8">
        <v>44412</v>
      </c>
      <c r="L105" s="7">
        <v>0</v>
      </c>
      <c r="M105" s="7"/>
      <c r="N105" s="8"/>
      <c r="O105">
        <f>VLOOKUP(A105,Sheet2!C76:F210,4,FALSE)</f>
        <v>31.6</v>
      </c>
      <c r="P105">
        <f>VLOOKUP(A105,Sheet2!C76:F210,4,FALSE)</f>
        <v>31.6</v>
      </c>
    </row>
    <row r="106" spans="1:16" x14ac:dyDescent="0.2">
      <c r="A106">
        <v>78</v>
      </c>
      <c r="B106" s="28" t="s">
        <v>168</v>
      </c>
      <c r="C106">
        <v>70</v>
      </c>
      <c r="D106" s="3" t="s">
        <v>7</v>
      </c>
      <c r="E106" s="3" t="s">
        <v>176</v>
      </c>
      <c r="F106" s="3" t="s">
        <v>177</v>
      </c>
      <c r="G106" s="8">
        <v>44406</v>
      </c>
      <c r="H106" s="8">
        <v>44406</v>
      </c>
      <c r="I106" s="8">
        <v>44413</v>
      </c>
      <c r="J106" s="8">
        <v>44413</v>
      </c>
      <c r="K106" s="8">
        <v>44413</v>
      </c>
      <c r="L106" s="7">
        <v>0</v>
      </c>
      <c r="M106" s="7"/>
      <c r="N106" s="8"/>
      <c r="O106">
        <f>VLOOKUP(A106,Sheet2!C79:F213,4,FALSE)</f>
        <v>28.23</v>
      </c>
      <c r="P106">
        <f>VLOOKUP(A106,Sheet2!C79:F213,4,FALSE)</f>
        <v>28.23</v>
      </c>
    </row>
    <row r="107" spans="1:16" x14ac:dyDescent="0.2">
      <c r="A107">
        <v>80</v>
      </c>
      <c r="B107" s="28" t="s">
        <v>167</v>
      </c>
      <c r="C107">
        <v>15</v>
      </c>
      <c r="D107" s="3" t="s">
        <v>7</v>
      </c>
      <c r="E107" s="3" t="s">
        <v>176</v>
      </c>
      <c r="F107" s="3" t="s">
        <v>177</v>
      </c>
      <c r="G107" s="8">
        <v>44406</v>
      </c>
      <c r="H107" s="8">
        <v>44406</v>
      </c>
      <c r="I107" s="8">
        <v>44408</v>
      </c>
      <c r="J107" s="8">
        <v>44413</v>
      </c>
      <c r="K107" s="8">
        <v>44413</v>
      </c>
      <c r="L107" s="7">
        <v>0</v>
      </c>
      <c r="M107" s="7"/>
      <c r="N107" s="8"/>
      <c r="O107">
        <f>VLOOKUP(A107,Sheet2!C81:F215,4,FALSE)</f>
        <v>22.23</v>
      </c>
      <c r="P107">
        <f>VLOOKUP(A107,Sheet2!C81:F215,4,FALSE)</f>
        <v>22.23</v>
      </c>
    </row>
    <row r="108" spans="1:16" x14ac:dyDescent="0.2">
      <c r="A108">
        <v>81</v>
      </c>
      <c r="B108" s="28" t="s">
        <v>167</v>
      </c>
      <c r="C108">
        <v>49</v>
      </c>
      <c r="D108" s="3" t="s">
        <v>7</v>
      </c>
      <c r="E108" s="3" t="s">
        <v>179</v>
      </c>
      <c r="F108" s="3" t="s">
        <v>180</v>
      </c>
      <c r="G108" s="8">
        <v>44406</v>
      </c>
      <c r="H108" s="8">
        <v>44406</v>
      </c>
      <c r="I108" s="8">
        <v>44413</v>
      </c>
      <c r="J108" s="8">
        <v>44413</v>
      </c>
      <c r="K108" s="8">
        <v>44413</v>
      </c>
      <c r="L108" s="7">
        <v>0</v>
      </c>
      <c r="M108" s="7"/>
      <c r="N108" s="8"/>
      <c r="O108">
        <f>VLOOKUP(A108,Sheet2!C82:F216,4,FALSE)</f>
        <v>27.11</v>
      </c>
      <c r="P108">
        <f>VLOOKUP(A108,Sheet2!C82:F216,4,FALSE)</f>
        <v>27.11</v>
      </c>
    </row>
    <row r="109" spans="1:16" x14ac:dyDescent="0.2">
      <c r="A109">
        <v>84</v>
      </c>
      <c r="B109" s="28" t="s">
        <v>167</v>
      </c>
      <c r="C109">
        <v>8</v>
      </c>
      <c r="D109" s="3" t="s">
        <v>8</v>
      </c>
      <c r="E109" s="3" t="s">
        <v>176</v>
      </c>
      <c r="F109" s="3" t="s">
        <v>177</v>
      </c>
      <c r="G109" s="8">
        <v>44402</v>
      </c>
      <c r="H109" s="8">
        <v>44402</v>
      </c>
      <c r="I109" s="8">
        <v>44413</v>
      </c>
      <c r="J109" s="8">
        <v>44413</v>
      </c>
      <c r="K109" s="8">
        <v>44413</v>
      </c>
      <c r="L109" s="7">
        <v>0</v>
      </c>
      <c r="M109" s="7"/>
      <c r="N109" s="8"/>
      <c r="O109">
        <f>VLOOKUP(A109,Sheet2!C85:F219,4,FALSE)</f>
        <v>29.16</v>
      </c>
      <c r="P109">
        <f>VLOOKUP(A109,Sheet2!C85:F219,4,FALSE)</f>
        <v>29.16</v>
      </c>
    </row>
    <row r="110" spans="1:16" x14ac:dyDescent="0.2">
      <c r="A110">
        <v>85</v>
      </c>
      <c r="B110" s="28" t="s">
        <v>167</v>
      </c>
      <c r="C110">
        <v>11</v>
      </c>
      <c r="D110" s="3" t="s">
        <v>7</v>
      </c>
      <c r="E110" s="3" t="s">
        <v>179</v>
      </c>
      <c r="F110" s="3" t="s">
        <v>180</v>
      </c>
      <c r="G110" s="8">
        <v>44403</v>
      </c>
      <c r="H110" s="8">
        <v>44403</v>
      </c>
      <c r="I110" s="8">
        <v>44413</v>
      </c>
      <c r="J110" s="8">
        <v>44414</v>
      </c>
      <c r="K110" s="8">
        <v>44414</v>
      </c>
      <c r="L110" s="7">
        <v>0</v>
      </c>
      <c r="M110" s="7"/>
      <c r="N110" s="8"/>
      <c r="O110">
        <f>VLOOKUP(A110,Sheet2!C86:F220,4,FALSE)</f>
        <v>39.1</v>
      </c>
      <c r="P110">
        <f>VLOOKUP(A110,Sheet2!C86:F220,4,FALSE)</f>
        <v>39.1</v>
      </c>
    </row>
    <row r="111" spans="1:16" x14ac:dyDescent="0.2">
      <c r="A111">
        <v>86</v>
      </c>
      <c r="B111" s="28" t="s">
        <v>168</v>
      </c>
      <c r="C111">
        <v>12</v>
      </c>
      <c r="D111" s="3" t="s">
        <v>8</v>
      </c>
      <c r="E111" s="3" t="s">
        <v>176</v>
      </c>
      <c r="F111" s="3" t="s">
        <v>177</v>
      </c>
      <c r="G111" s="8">
        <v>44399</v>
      </c>
      <c r="H111" s="8">
        <v>44399</v>
      </c>
      <c r="I111" s="8">
        <v>44414</v>
      </c>
      <c r="J111" s="8">
        <v>44414</v>
      </c>
      <c r="K111" s="8">
        <v>44414</v>
      </c>
      <c r="L111" s="7">
        <v>0</v>
      </c>
      <c r="M111" s="7"/>
      <c r="N111" s="8"/>
      <c r="O111">
        <f>VLOOKUP(A111,Sheet2!C87:F221,4,FALSE)</f>
        <v>28.9</v>
      </c>
      <c r="P111">
        <f>VLOOKUP(A111,Sheet2!C87:F221,4,FALSE)</f>
        <v>28.9</v>
      </c>
    </row>
    <row r="112" spans="1:16" x14ac:dyDescent="0.2">
      <c r="A112">
        <v>89</v>
      </c>
      <c r="B112" s="28" t="s">
        <v>168</v>
      </c>
      <c r="C112">
        <v>32</v>
      </c>
      <c r="D112" s="3" t="s">
        <v>8</v>
      </c>
      <c r="E112" s="3" t="s">
        <v>176</v>
      </c>
      <c r="F112" s="3" t="s">
        <v>177</v>
      </c>
      <c r="G112" s="8">
        <v>44405</v>
      </c>
      <c r="H112" s="8">
        <v>44405</v>
      </c>
      <c r="I112" s="8">
        <v>44414</v>
      </c>
      <c r="J112" s="8">
        <v>44414</v>
      </c>
      <c r="K112" s="8">
        <v>44414</v>
      </c>
      <c r="L112" s="7">
        <v>0</v>
      </c>
      <c r="M112" s="7"/>
      <c r="N112" s="8"/>
      <c r="O112">
        <f>VLOOKUP(A112,Sheet2!C90:F224,4,FALSE)</f>
        <v>18.05</v>
      </c>
      <c r="P112">
        <f>VLOOKUP(A112,Sheet2!C90:F224,4,FALSE)</f>
        <v>18.05</v>
      </c>
    </row>
    <row r="113" spans="1:16" x14ac:dyDescent="0.2">
      <c r="A113">
        <v>91</v>
      </c>
      <c r="B113" s="28" t="s">
        <v>167</v>
      </c>
      <c r="C113">
        <v>12</v>
      </c>
      <c r="D113" s="3" t="s">
        <v>7</v>
      </c>
      <c r="E113" s="3" t="s">
        <v>179</v>
      </c>
      <c r="F113" s="3" t="s">
        <v>189</v>
      </c>
      <c r="G113" s="8">
        <v>44406</v>
      </c>
      <c r="H113" s="8">
        <v>44406</v>
      </c>
      <c r="I113" s="8">
        <v>44412</v>
      </c>
      <c r="J113" s="8">
        <v>44415</v>
      </c>
      <c r="K113" s="8">
        <v>44415</v>
      </c>
      <c r="L113" s="7">
        <v>0</v>
      </c>
      <c r="M113" s="7"/>
      <c r="N113" s="8"/>
      <c r="O113">
        <f>VLOOKUP(A113,Sheet2!C92:F226,4,FALSE)</f>
        <v>24.21</v>
      </c>
      <c r="P113">
        <f>VLOOKUP(A113,Sheet2!C92:F226,4,FALSE)</f>
        <v>24.21</v>
      </c>
    </row>
    <row r="114" spans="1:16" x14ac:dyDescent="0.2">
      <c r="A114">
        <v>92</v>
      </c>
      <c r="B114" s="28" t="s">
        <v>168</v>
      </c>
      <c r="C114">
        <v>34</v>
      </c>
      <c r="D114" s="3" t="s">
        <v>8</v>
      </c>
      <c r="E114" s="3" t="s">
        <v>179</v>
      </c>
      <c r="F114" s="3" t="s">
        <v>189</v>
      </c>
      <c r="G114" s="8">
        <v>44404</v>
      </c>
      <c r="H114" s="8">
        <v>44404</v>
      </c>
      <c r="I114" s="8">
        <v>44407</v>
      </c>
      <c r="J114" s="8">
        <v>44415</v>
      </c>
      <c r="K114" s="8">
        <v>44415</v>
      </c>
      <c r="L114" s="7">
        <v>0</v>
      </c>
      <c r="M114" s="7"/>
      <c r="N114" s="8"/>
      <c r="O114">
        <f>VLOOKUP(A114,Sheet2!C93:F227,4,FALSE)</f>
        <v>22.9</v>
      </c>
      <c r="P114">
        <f>VLOOKUP(A114,Sheet2!C93:F227,4,FALSE)</f>
        <v>22.9</v>
      </c>
    </row>
    <row r="115" spans="1:16" x14ac:dyDescent="0.2">
      <c r="A115">
        <v>99</v>
      </c>
      <c r="B115" s="28" t="s">
        <v>168</v>
      </c>
      <c r="C115">
        <v>4</v>
      </c>
      <c r="D115" s="3" t="s">
        <v>7</v>
      </c>
      <c r="E115" s="3" t="s">
        <v>176</v>
      </c>
      <c r="F115" s="3" t="s">
        <v>177</v>
      </c>
      <c r="G115" s="8"/>
      <c r="H115" s="8"/>
      <c r="I115" s="8">
        <v>44416</v>
      </c>
      <c r="J115" s="8">
        <v>44416</v>
      </c>
      <c r="K115" s="8">
        <v>44416</v>
      </c>
      <c r="L115" s="7">
        <v>0</v>
      </c>
      <c r="M115" s="7"/>
      <c r="N115" s="8"/>
      <c r="O115">
        <f>VLOOKUP(A115,Sheet2!C100:F234,4,FALSE)</f>
        <v>20.16</v>
      </c>
      <c r="P115">
        <f>VLOOKUP(A115,Sheet2!C100:F234,4,FALSE)</f>
        <v>20.16</v>
      </c>
    </row>
    <row r="116" spans="1:16" x14ac:dyDescent="0.2">
      <c r="A116">
        <v>100</v>
      </c>
      <c r="B116" s="28" t="s">
        <v>168</v>
      </c>
      <c r="C116">
        <v>63</v>
      </c>
      <c r="D116" s="3" t="s">
        <v>7</v>
      </c>
      <c r="E116" s="3" t="s">
        <v>176</v>
      </c>
      <c r="F116" s="3" t="s">
        <v>177</v>
      </c>
      <c r="G116" s="8"/>
      <c r="H116" s="8"/>
      <c r="I116" s="8">
        <v>44416</v>
      </c>
      <c r="J116" s="8">
        <v>44416</v>
      </c>
      <c r="K116" s="8">
        <v>44416</v>
      </c>
      <c r="L116" s="7">
        <v>0</v>
      </c>
      <c r="M116" s="7"/>
      <c r="N116" s="8"/>
      <c r="O116">
        <f>VLOOKUP(A116,Sheet2!C101:F235,4,FALSE)</f>
        <v>33.85</v>
      </c>
      <c r="P116">
        <f>VLOOKUP(A116,Sheet2!C101:F235,4,FALSE)</f>
        <v>33.85</v>
      </c>
    </row>
    <row r="117" spans="1:16" x14ac:dyDescent="0.2">
      <c r="A117">
        <v>101</v>
      </c>
      <c r="B117" s="28" t="s">
        <v>167</v>
      </c>
      <c r="C117">
        <v>7</v>
      </c>
      <c r="D117" s="3" t="s">
        <v>8</v>
      </c>
      <c r="E117" s="3" t="s">
        <v>176</v>
      </c>
      <c r="F117" s="3" t="s">
        <v>177</v>
      </c>
      <c r="G117" s="8"/>
      <c r="H117" s="8"/>
      <c r="I117" s="8">
        <v>44416</v>
      </c>
      <c r="J117" s="8">
        <v>44416</v>
      </c>
      <c r="K117" s="8">
        <v>44416</v>
      </c>
      <c r="L117" s="7">
        <v>0</v>
      </c>
      <c r="M117" s="7"/>
      <c r="N117" s="8"/>
    </row>
    <row r="118" spans="1:16" x14ac:dyDescent="0.2">
      <c r="A118">
        <v>104</v>
      </c>
      <c r="B118" s="28" t="s">
        <v>167</v>
      </c>
      <c r="C118">
        <v>36</v>
      </c>
      <c r="D118" s="3" t="s">
        <v>8</v>
      </c>
      <c r="E118" s="3" t="s">
        <v>176</v>
      </c>
      <c r="F118" s="3" t="s">
        <v>177</v>
      </c>
      <c r="G118" s="8"/>
      <c r="H118" s="8"/>
      <c r="I118" s="8">
        <v>44415</v>
      </c>
      <c r="J118" s="8">
        <v>44417</v>
      </c>
      <c r="K118" s="8">
        <v>44417</v>
      </c>
      <c r="L118" s="7">
        <v>0</v>
      </c>
      <c r="M118" s="7"/>
      <c r="N118" s="8"/>
      <c r="O118">
        <f>VLOOKUP(A118,Sheet2!C105:F239,4,FALSE)</f>
        <v>17.065000000000001</v>
      </c>
      <c r="P118">
        <f>VLOOKUP(A118,Sheet2!C105:F239,4,FALSE)</f>
        <v>17.065000000000001</v>
      </c>
    </row>
    <row r="119" spans="1:16" x14ac:dyDescent="0.2">
      <c r="A119">
        <v>105</v>
      </c>
      <c r="B119" s="28" t="s">
        <v>168</v>
      </c>
      <c r="C119">
        <v>14</v>
      </c>
      <c r="D119" s="3" t="s">
        <v>7</v>
      </c>
      <c r="E119" s="3" t="s">
        <v>176</v>
      </c>
      <c r="F119" s="3" t="s">
        <v>177</v>
      </c>
      <c r="G119" s="8"/>
      <c r="H119" s="8"/>
      <c r="I119" s="8">
        <v>44417</v>
      </c>
      <c r="J119" s="8">
        <v>44417</v>
      </c>
      <c r="K119" s="8">
        <v>44417</v>
      </c>
      <c r="L119" s="7">
        <v>0</v>
      </c>
      <c r="M119" s="7"/>
      <c r="N119" s="8"/>
      <c r="O119">
        <f>VLOOKUP(A119,Sheet2!C106:F240,4,FALSE)</f>
        <v>23.16</v>
      </c>
      <c r="P119">
        <f>VLOOKUP(A119,Sheet2!C106:F240,4,FALSE)</f>
        <v>23.16</v>
      </c>
    </row>
    <row r="120" spans="1:16" x14ac:dyDescent="0.2">
      <c r="A120">
        <v>106</v>
      </c>
      <c r="B120" s="28" t="s">
        <v>168</v>
      </c>
      <c r="C120">
        <v>40</v>
      </c>
      <c r="D120" s="3" t="s">
        <v>7</v>
      </c>
      <c r="E120" s="3" t="s">
        <v>176</v>
      </c>
      <c r="F120" s="3" t="s">
        <v>177</v>
      </c>
      <c r="G120" s="8"/>
      <c r="H120" s="8"/>
      <c r="I120" s="8">
        <v>44417</v>
      </c>
      <c r="J120" s="8">
        <v>44417</v>
      </c>
      <c r="K120" s="8">
        <v>44417</v>
      </c>
      <c r="L120" s="7">
        <v>0</v>
      </c>
      <c r="M120" s="7"/>
      <c r="N120" s="8"/>
      <c r="O120">
        <f>VLOOKUP(A120,Sheet2!C107:F241,4,FALSE)</f>
        <v>32.04</v>
      </c>
      <c r="P120">
        <f>VLOOKUP(A120,Sheet2!C107:F241,4,FALSE)</f>
        <v>32.04</v>
      </c>
    </row>
    <row r="121" spans="1:16" x14ac:dyDescent="0.2">
      <c r="A121">
        <v>109</v>
      </c>
      <c r="B121" s="28" t="s">
        <v>167</v>
      </c>
      <c r="C121">
        <v>58</v>
      </c>
      <c r="D121" s="3" t="s">
        <v>8</v>
      </c>
      <c r="E121" s="3" t="s">
        <v>176</v>
      </c>
      <c r="F121" s="3" t="s">
        <v>177</v>
      </c>
      <c r="G121" s="8"/>
      <c r="H121" s="8"/>
      <c r="I121" s="8">
        <v>44417</v>
      </c>
      <c r="J121" s="8">
        <v>44417</v>
      </c>
      <c r="K121" s="8">
        <v>44417</v>
      </c>
      <c r="L121" s="7">
        <v>0</v>
      </c>
      <c r="M121" s="7"/>
      <c r="N121" s="8"/>
      <c r="O121">
        <f>VLOOKUP(A121,Sheet2!C110:F244,4,FALSE)</f>
        <v>29.22</v>
      </c>
      <c r="P121">
        <f>VLOOKUP(A121,Sheet2!C110:F244,4,FALSE)</f>
        <v>29.22</v>
      </c>
    </row>
    <row r="122" spans="1:16" x14ac:dyDescent="0.2">
      <c r="A122">
        <v>111</v>
      </c>
      <c r="B122" s="28" t="s">
        <v>168</v>
      </c>
      <c r="C122">
        <v>11</v>
      </c>
      <c r="D122" s="3" t="s">
        <v>7</v>
      </c>
      <c r="E122" s="3" t="s">
        <v>176</v>
      </c>
      <c r="F122" s="3" t="s">
        <v>177</v>
      </c>
      <c r="G122" s="8"/>
      <c r="H122" s="8"/>
      <c r="I122" s="8">
        <v>44416</v>
      </c>
      <c r="J122" s="8">
        <v>44418</v>
      </c>
      <c r="K122" s="8">
        <v>44418</v>
      </c>
      <c r="L122" s="7">
        <v>0</v>
      </c>
      <c r="M122" s="7"/>
      <c r="N122" s="8"/>
      <c r="O122">
        <f>VLOOKUP(A122,Sheet2!C112:F246,4,FALSE)</f>
        <v>22.57</v>
      </c>
      <c r="P122">
        <f>VLOOKUP(A122,Sheet2!C112:F246,4,FALSE)</f>
        <v>22.57</v>
      </c>
    </row>
    <row r="123" spans="1:16" x14ac:dyDescent="0.2">
      <c r="A123">
        <v>112</v>
      </c>
      <c r="B123" s="28" t="s">
        <v>167</v>
      </c>
      <c r="C123">
        <v>19</v>
      </c>
      <c r="D123" s="3" t="s">
        <v>8</v>
      </c>
      <c r="E123" s="3" t="s">
        <v>176</v>
      </c>
      <c r="F123" s="3" t="s">
        <v>177</v>
      </c>
      <c r="G123" s="8"/>
      <c r="H123" s="8"/>
      <c r="I123" s="8">
        <v>44417</v>
      </c>
      <c r="J123" s="8">
        <v>44418</v>
      </c>
      <c r="K123" s="8">
        <v>44418</v>
      </c>
      <c r="L123" s="7">
        <v>0</v>
      </c>
      <c r="M123" s="7"/>
      <c r="N123" s="8"/>
      <c r="O123">
        <f>VLOOKUP(A123,Sheet2!C113:F247,4,FALSE)</f>
        <v>28.9</v>
      </c>
      <c r="P123">
        <f>VLOOKUP(A123,Sheet2!C113:F247,4,FALSE)</f>
        <v>28.9</v>
      </c>
    </row>
    <row r="124" spans="1:16" x14ac:dyDescent="0.2">
      <c r="A124">
        <v>115</v>
      </c>
      <c r="B124" s="28" t="s">
        <v>168</v>
      </c>
      <c r="C124">
        <v>17</v>
      </c>
      <c r="D124" s="3" t="s">
        <v>8</v>
      </c>
      <c r="E124" s="3" t="s">
        <v>176</v>
      </c>
      <c r="F124" s="3" t="s">
        <v>177</v>
      </c>
      <c r="G124" s="8"/>
      <c r="H124" s="8"/>
      <c r="I124" s="8">
        <v>44418</v>
      </c>
      <c r="J124" s="8">
        <v>44419</v>
      </c>
      <c r="K124" s="8">
        <v>44419</v>
      </c>
      <c r="L124" s="7">
        <v>0</v>
      </c>
      <c r="M124" s="7"/>
      <c r="N124" s="8"/>
      <c r="O124">
        <f>VLOOKUP(A124,Sheet2!C116:F250,4,FALSE)</f>
        <v>30.84</v>
      </c>
      <c r="P124">
        <f>VLOOKUP(A124,Sheet2!C116:F250,4,FALSE)</f>
        <v>30.84</v>
      </c>
    </row>
    <row r="125" spans="1:16" x14ac:dyDescent="0.2">
      <c r="A125">
        <v>119</v>
      </c>
      <c r="B125" s="28" t="s">
        <v>168</v>
      </c>
      <c r="C125">
        <v>57</v>
      </c>
      <c r="D125" s="3" t="s">
        <v>7</v>
      </c>
      <c r="E125" s="3" t="s">
        <v>176</v>
      </c>
      <c r="F125" s="3" t="s">
        <v>177</v>
      </c>
      <c r="G125" s="8"/>
      <c r="H125" s="8"/>
      <c r="I125" s="8">
        <v>44413</v>
      </c>
      <c r="J125" s="8">
        <v>44419</v>
      </c>
      <c r="K125" s="8">
        <v>44419</v>
      </c>
      <c r="L125" s="7">
        <v>0</v>
      </c>
      <c r="M125" s="7"/>
      <c r="N125" s="8"/>
      <c r="O125">
        <f>VLOOKUP(A125,Sheet2!C120:F254,4,FALSE)</f>
        <v>11.31</v>
      </c>
      <c r="P125">
        <f>VLOOKUP(A125,Sheet2!C120:F254,4,FALSE)</f>
        <v>11.31</v>
      </c>
    </row>
    <row r="126" spans="1:16" x14ac:dyDescent="0.2">
      <c r="A126">
        <v>122</v>
      </c>
      <c r="B126" s="28" t="s">
        <v>168</v>
      </c>
      <c r="C126">
        <v>63</v>
      </c>
      <c r="D126" s="3" t="s">
        <v>7</v>
      </c>
      <c r="E126" s="3" t="s">
        <v>176</v>
      </c>
      <c r="F126" s="3" t="s">
        <v>177</v>
      </c>
      <c r="G126" s="8"/>
      <c r="H126" s="8"/>
      <c r="I126" s="8">
        <v>44419</v>
      </c>
      <c r="J126" s="8">
        <v>44420</v>
      </c>
      <c r="K126" s="8">
        <v>44420</v>
      </c>
      <c r="L126" s="7">
        <v>0</v>
      </c>
      <c r="M126" s="7"/>
      <c r="N126" s="8"/>
      <c r="O126">
        <f>VLOOKUP(A126,Sheet2!C123:F257,4,FALSE)</f>
        <v>23.6</v>
      </c>
      <c r="P126">
        <f>VLOOKUP(A126,Sheet2!C123:F257,4,FALSE)</f>
        <v>23.6</v>
      </c>
    </row>
    <row r="127" spans="1:16" x14ac:dyDescent="0.2">
      <c r="A127">
        <v>123</v>
      </c>
      <c r="B127" s="28" t="s">
        <v>167</v>
      </c>
      <c r="C127">
        <v>59</v>
      </c>
      <c r="D127" s="3" t="s">
        <v>7</v>
      </c>
      <c r="E127" s="3" t="s">
        <v>176</v>
      </c>
      <c r="F127" s="3" t="s">
        <v>177</v>
      </c>
      <c r="G127" s="8"/>
      <c r="H127" s="8"/>
      <c r="I127" s="8">
        <v>44419</v>
      </c>
      <c r="J127" s="8">
        <v>44420</v>
      </c>
      <c r="K127" s="8">
        <v>44420</v>
      </c>
      <c r="L127" s="7">
        <v>0</v>
      </c>
      <c r="M127" s="7"/>
      <c r="N127" s="8"/>
    </row>
    <row r="128" spans="1:16" x14ac:dyDescent="0.2">
      <c r="A128">
        <v>124</v>
      </c>
      <c r="B128" s="12"/>
      <c r="C128">
        <v>13</v>
      </c>
      <c r="D128" s="3" t="s">
        <v>6</v>
      </c>
      <c r="E128" s="3"/>
      <c r="F128" s="3"/>
      <c r="G128" s="8"/>
      <c r="H128" s="8"/>
      <c r="I128" s="8">
        <v>44420</v>
      </c>
      <c r="J128" s="8">
        <v>44421</v>
      </c>
      <c r="K128" s="8">
        <v>44421</v>
      </c>
      <c r="L128" s="7">
        <v>0</v>
      </c>
      <c r="M128" s="7"/>
      <c r="N128" s="8"/>
    </row>
    <row r="129" spans="1:16" x14ac:dyDescent="0.2">
      <c r="A129">
        <v>126</v>
      </c>
      <c r="B129" s="12"/>
      <c r="C129">
        <v>12</v>
      </c>
      <c r="D129" s="3" t="s">
        <v>7</v>
      </c>
      <c r="E129" s="3"/>
      <c r="F129" s="3"/>
      <c r="G129" s="8"/>
      <c r="H129" s="8"/>
      <c r="I129" s="8">
        <v>44420</v>
      </c>
      <c r="J129" s="8">
        <v>44421</v>
      </c>
      <c r="K129" s="8">
        <v>44421</v>
      </c>
      <c r="L129" s="7">
        <v>0</v>
      </c>
      <c r="M129" s="7"/>
      <c r="N129" s="8"/>
      <c r="O129">
        <f>VLOOKUP(A129,Sheet2!C127:F261,4,FALSE)</f>
        <v>32.1</v>
      </c>
      <c r="P129">
        <f>VLOOKUP(A129,Sheet2!C127:F261,4,FALSE)</f>
        <v>32.1</v>
      </c>
    </row>
    <row r="130" spans="1:16" x14ac:dyDescent="0.2">
      <c r="A130">
        <v>129</v>
      </c>
      <c r="B130" s="12"/>
      <c r="C130">
        <v>8</v>
      </c>
      <c r="D130" s="3" t="s">
        <v>7</v>
      </c>
      <c r="E130" s="3"/>
      <c r="F130" s="3"/>
      <c r="G130" s="8"/>
      <c r="H130" s="8"/>
      <c r="I130" s="8">
        <v>44423</v>
      </c>
      <c r="J130" s="8">
        <v>44423</v>
      </c>
      <c r="K130" s="8">
        <v>44423</v>
      </c>
      <c r="L130" s="7">
        <v>0</v>
      </c>
      <c r="M130" s="7"/>
      <c r="N130" s="8"/>
      <c r="O130">
        <f>VLOOKUP(A130,Sheet2!C130:F264,4,FALSE)</f>
        <v>33.08</v>
      </c>
      <c r="P130">
        <f>VLOOKUP(A130,Sheet2!C130:F264,4,FALSE)</f>
        <v>33.08</v>
      </c>
    </row>
    <row r="131" spans="1:16" x14ac:dyDescent="0.2">
      <c r="B131" s="12"/>
    </row>
    <row r="132" spans="1:16" x14ac:dyDescent="0.2">
      <c r="B132" s="12"/>
    </row>
    <row r="133" spans="1:16" x14ac:dyDescent="0.2">
      <c r="B133" s="12"/>
    </row>
    <row r="134" spans="1:16" x14ac:dyDescent="0.2">
      <c r="B134" s="12"/>
    </row>
    <row r="135" spans="1:16" x14ac:dyDescent="0.2">
      <c r="B135" s="12"/>
    </row>
    <row r="136" spans="1:16" x14ac:dyDescent="0.2">
      <c r="B136" s="12"/>
    </row>
    <row r="137" spans="1:16" x14ac:dyDescent="0.2">
      <c r="B137" s="12"/>
    </row>
    <row r="138" spans="1:16" x14ac:dyDescent="0.2">
      <c r="B138" s="12"/>
    </row>
    <row r="139" spans="1:16" x14ac:dyDescent="0.2">
      <c r="B139" s="12"/>
    </row>
    <row r="140" spans="1:16" x14ac:dyDescent="0.2">
      <c r="B140" s="12"/>
    </row>
    <row r="141" spans="1:16" x14ac:dyDescent="0.2">
      <c r="B141" s="12"/>
    </row>
    <row r="142" spans="1:16" x14ac:dyDescent="0.2">
      <c r="B142" s="12"/>
    </row>
    <row r="143" spans="1:16" x14ac:dyDescent="0.2">
      <c r="B143" s="1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F452-6519-4B7A-A39D-F57A8D6C7716}">
  <dimension ref="A1:F136"/>
  <sheetViews>
    <sheetView zoomScale="115" zoomScaleNormal="115" workbookViewId="0">
      <selection activeCell="F15" sqref="F15"/>
    </sheetView>
  </sheetViews>
  <sheetFormatPr defaultRowHeight="14.25" x14ac:dyDescent="0.2"/>
  <sheetData>
    <row r="1" spans="1:6" x14ac:dyDescent="0.2">
      <c r="A1" s="1" t="s">
        <v>11</v>
      </c>
      <c r="B1" t="s">
        <v>12</v>
      </c>
      <c r="C1" s="1" t="s">
        <v>11</v>
      </c>
      <c r="D1" s="1" t="s">
        <v>141</v>
      </c>
      <c r="E1" s="29" t="s">
        <v>198</v>
      </c>
      <c r="F1" s="29" t="s">
        <v>199</v>
      </c>
    </row>
    <row r="2" spans="1:6" x14ac:dyDescent="0.2">
      <c r="A2" s="7">
        <v>1</v>
      </c>
      <c r="B2" t="s">
        <v>13</v>
      </c>
      <c r="C2" s="7">
        <v>1</v>
      </c>
      <c r="D2" s="20"/>
    </row>
    <row r="3" spans="1:6" x14ac:dyDescent="0.2">
      <c r="A3" s="7">
        <v>2</v>
      </c>
      <c r="B3" t="s">
        <v>14</v>
      </c>
      <c r="C3" s="7">
        <v>2</v>
      </c>
      <c r="D3" s="20"/>
    </row>
    <row r="4" spans="1:6" x14ac:dyDescent="0.2">
      <c r="A4" s="7">
        <v>3</v>
      </c>
      <c r="B4" t="s">
        <v>15</v>
      </c>
      <c r="C4" s="7">
        <v>3</v>
      </c>
      <c r="D4" s="3" t="s">
        <v>20</v>
      </c>
    </row>
    <row r="5" spans="1:6" x14ac:dyDescent="0.2">
      <c r="A5" s="7">
        <v>4</v>
      </c>
      <c r="B5" t="s">
        <v>16</v>
      </c>
      <c r="C5" s="7">
        <v>4</v>
      </c>
      <c r="D5" s="20"/>
    </row>
    <row r="6" spans="1:6" x14ac:dyDescent="0.2">
      <c r="A6" s="7">
        <v>5</v>
      </c>
      <c r="B6" t="s">
        <v>17</v>
      </c>
      <c r="C6" s="7">
        <v>5</v>
      </c>
      <c r="D6" s="20"/>
    </row>
    <row r="7" spans="1:6" x14ac:dyDescent="0.2">
      <c r="A7" s="7">
        <v>6</v>
      </c>
      <c r="B7" t="s">
        <v>18</v>
      </c>
      <c r="C7" s="7">
        <v>6</v>
      </c>
      <c r="D7" s="20"/>
      <c r="E7">
        <v>35.5</v>
      </c>
      <c r="F7">
        <v>37.1</v>
      </c>
    </row>
    <row r="8" spans="1:6" x14ac:dyDescent="0.2">
      <c r="A8" s="7">
        <v>7</v>
      </c>
      <c r="B8" t="s">
        <v>19</v>
      </c>
      <c r="C8" s="7">
        <v>7</v>
      </c>
      <c r="D8" s="20"/>
      <c r="E8">
        <v>37.549999999999997</v>
      </c>
      <c r="F8">
        <v>37.520000000000003</v>
      </c>
    </row>
    <row r="9" spans="1:6" x14ac:dyDescent="0.2">
      <c r="A9" s="7">
        <v>8</v>
      </c>
      <c r="B9" t="s">
        <v>20</v>
      </c>
      <c r="C9" s="7">
        <v>8</v>
      </c>
      <c r="D9" s="3"/>
      <c r="E9">
        <v>37.659999999999997</v>
      </c>
      <c r="F9">
        <v>37.659999999999997</v>
      </c>
    </row>
    <row r="10" spans="1:6" x14ac:dyDescent="0.2">
      <c r="A10" s="7">
        <v>9</v>
      </c>
      <c r="B10" t="s">
        <v>21</v>
      </c>
      <c r="C10" s="7">
        <v>9</v>
      </c>
      <c r="D10" s="3"/>
      <c r="E10" s="30">
        <v>24.18</v>
      </c>
      <c r="F10" s="30">
        <v>23.61</v>
      </c>
    </row>
    <row r="11" spans="1:6" x14ac:dyDescent="0.2">
      <c r="A11" s="7">
        <v>10</v>
      </c>
      <c r="B11" t="s">
        <v>22</v>
      </c>
      <c r="C11" s="7">
        <v>10</v>
      </c>
      <c r="D11" s="20"/>
    </row>
    <row r="12" spans="1:6" x14ac:dyDescent="0.2">
      <c r="A12" s="7">
        <v>11</v>
      </c>
      <c r="B12" t="s">
        <v>23</v>
      </c>
      <c r="C12" s="7">
        <v>11</v>
      </c>
      <c r="D12" s="20"/>
      <c r="E12">
        <v>37.799999999999997</v>
      </c>
      <c r="F12">
        <v>37.1</v>
      </c>
    </row>
    <row r="13" spans="1:6" x14ac:dyDescent="0.2">
      <c r="A13" s="7">
        <v>12</v>
      </c>
      <c r="B13" t="s">
        <v>24</v>
      </c>
      <c r="C13" s="7">
        <v>12</v>
      </c>
      <c r="D13" s="20"/>
    </row>
    <row r="14" spans="1:6" x14ac:dyDescent="0.2">
      <c r="A14" s="7">
        <v>13</v>
      </c>
      <c r="B14" t="s">
        <v>25</v>
      </c>
      <c r="C14" s="7">
        <v>13</v>
      </c>
      <c r="D14" s="20"/>
    </row>
    <row r="15" spans="1:6" x14ac:dyDescent="0.2">
      <c r="A15" s="7">
        <v>14</v>
      </c>
      <c r="B15" t="s">
        <v>26</v>
      </c>
      <c r="C15" s="7">
        <v>14</v>
      </c>
      <c r="D15" s="20"/>
    </row>
    <row r="16" spans="1:6" x14ac:dyDescent="0.2">
      <c r="A16" s="7">
        <v>15</v>
      </c>
      <c r="B16" t="s">
        <v>27</v>
      </c>
      <c r="C16" s="7">
        <v>15</v>
      </c>
      <c r="D16" s="20"/>
    </row>
    <row r="17" spans="1:6" x14ac:dyDescent="0.2">
      <c r="A17" s="7">
        <v>16</v>
      </c>
      <c r="B17" t="s">
        <v>28</v>
      </c>
      <c r="C17" s="7">
        <v>16</v>
      </c>
      <c r="D17" s="20"/>
    </row>
    <row r="18" spans="1:6" x14ac:dyDescent="0.2">
      <c r="A18" s="7">
        <v>17</v>
      </c>
      <c r="B18" t="s">
        <v>29</v>
      </c>
      <c r="C18" s="7">
        <v>17</v>
      </c>
      <c r="D18" s="3" t="s">
        <v>15</v>
      </c>
      <c r="E18" s="31">
        <v>20.05</v>
      </c>
      <c r="F18" s="31">
        <v>21</v>
      </c>
    </row>
    <row r="19" spans="1:6" x14ac:dyDescent="0.2">
      <c r="A19" s="7">
        <v>18</v>
      </c>
      <c r="B19" t="s">
        <v>30</v>
      </c>
      <c r="C19" s="7">
        <v>18</v>
      </c>
      <c r="D19" s="3" t="s">
        <v>15</v>
      </c>
      <c r="E19" s="31">
        <v>23.55</v>
      </c>
      <c r="F19" s="31">
        <v>24.49</v>
      </c>
    </row>
    <row r="20" spans="1:6" x14ac:dyDescent="0.2">
      <c r="A20" s="7">
        <v>19</v>
      </c>
      <c r="B20" t="s">
        <v>31</v>
      </c>
      <c r="C20" s="7">
        <v>19</v>
      </c>
      <c r="D20" s="3" t="s">
        <v>15</v>
      </c>
      <c r="E20" s="31">
        <v>36.06</v>
      </c>
      <c r="F20" s="31">
        <v>34.89</v>
      </c>
    </row>
    <row r="21" spans="1:6" x14ac:dyDescent="0.2">
      <c r="A21" s="7">
        <v>20</v>
      </c>
      <c r="B21" t="s">
        <v>32</v>
      </c>
      <c r="C21" s="7">
        <v>20</v>
      </c>
      <c r="D21" s="20" t="s">
        <v>18</v>
      </c>
      <c r="E21">
        <v>35.9</v>
      </c>
      <c r="F21">
        <v>36</v>
      </c>
    </row>
    <row r="22" spans="1:6" x14ac:dyDescent="0.2">
      <c r="A22" s="7">
        <v>21</v>
      </c>
      <c r="B22" t="s">
        <v>33</v>
      </c>
      <c r="C22" s="7">
        <v>21</v>
      </c>
      <c r="D22" s="7" t="s">
        <v>25</v>
      </c>
      <c r="E22">
        <v>27.3</v>
      </c>
      <c r="F22">
        <v>27.7</v>
      </c>
    </row>
    <row r="23" spans="1:6" x14ac:dyDescent="0.2">
      <c r="A23" s="7">
        <v>22</v>
      </c>
      <c r="B23" t="s">
        <v>34</v>
      </c>
      <c r="C23" s="7">
        <v>22</v>
      </c>
      <c r="D23" s="20"/>
    </row>
    <row r="24" spans="1:6" x14ac:dyDescent="0.2">
      <c r="A24" s="7">
        <v>23</v>
      </c>
      <c r="B24" t="s">
        <v>35</v>
      </c>
      <c r="C24" s="7">
        <v>23</v>
      </c>
      <c r="D24" s="14" t="s">
        <v>22</v>
      </c>
      <c r="E24">
        <v>30.5</v>
      </c>
      <c r="F24">
        <v>30</v>
      </c>
    </row>
    <row r="25" spans="1:6" x14ac:dyDescent="0.2">
      <c r="A25" s="7">
        <v>24</v>
      </c>
      <c r="B25" t="s">
        <v>36</v>
      </c>
      <c r="C25" s="7">
        <v>24</v>
      </c>
      <c r="D25" s="20" t="s">
        <v>18</v>
      </c>
      <c r="E25">
        <v>31.3</v>
      </c>
      <c r="F25">
        <v>32.32</v>
      </c>
    </row>
    <row r="26" spans="1:6" x14ac:dyDescent="0.2">
      <c r="A26" s="7">
        <v>25</v>
      </c>
      <c r="B26" t="s">
        <v>37</v>
      </c>
      <c r="C26" s="7">
        <v>25</v>
      </c>
      <c r="D26" s="7" t="s">
        <v>142</v>
      </c>
    </row>
    <row r="27" spans="1:6" x14ac:dyDescent="0.2">
      <c r="A27" s="7">
        <v>26</v>
      </c>
      <c r="B27" t="s">
        <v>38</v>
      </c>
      <c r="C27" s="7">
        <v>26</v>
      </c>
      <c r="D27" s="3" t="s">
        <v>31</v>
      </c>
      <c r="E27" s="31">
        <v>22.9</v>
      </c>
      <c r="F27" s="31">
        <v>23.57</v>
      </c>
    </row>
    <row r="28" spans="1:6" x14ac:dyDescent="0.2">
      <c r="A28" s="7">
        <v>27</v>
      </c>
      <c r="B28" t="s">
        <v>39</v>
      </c>
      <c r="C28" s="7">
        <v>27</v>
      </c>
      <c r="D28" s="3"/>
    </row>
    <row r="29" spans="1:6" x14ac:dyDescent="0.2">
      <c r="A29" s="7">
        <v>28</v>
      </c>
      <c r="B29" t="s">
        <v>40</v>
      </c>
      <c r="C29" s="7">
        <v>28</v>
      </c>
      <c r="D29" s="3" t="s">
        <v>143</v>
      </c>
    </row>
    <row r="30" spans="1:6" x14ac:dyDescent="0.2">
      <c r="A30" s="7">
        <v>29</v>
      </c>
      <c r="B30" t="s">
        <v>41</v>
      </c>
      <c r="C30" s="7">
        <v>29</v>
      </c>
      <c r="D30" s="3" t="s">
        <v>143</v>
      </c>
    </row>
    <row r="31" spans="1:6" x14ac:dyDescent="0.2">
      <c r="A31" s="7">
        <v>30</v>
      </c>
      <c r="B31" t="s">
        <v>42</v>
      </c>
      <c r="C31" s="7">
        <v>30</v>
      </c>
      <c r="D31" s="20"/>
    </row>
    <row r="32" spans="1:6" x14ac:dyDescent="0.2">
      <c r="A32" s="7">
        <v>31</v>
      </c>
      <c r="B32" t="s">
        <v>43</v>
      </c>
      <c r="C32" s="7">
        <v>31</v>
      </c>
      <c r="D32" s="20"/>
    </row>
    <row r="33" spans="1:6" x14ac:dyDescent="0.2">
      <c r="A33" s="7">
        <v>32</v>
      </c>
      <c r="B33" t="s">
        <v>44</v>
      </c>
      <c r="C33" s="7">
        <v>32</v>
      </c>
      <c r="D33" s="3"/>
      <c r="E33">
        <v>26.06</v>
      </c>
      <c r="F33">
        <v>27.04</v>
      </c>
    </row>
    <row r="34" spans="1:6" x14ac:dyDescent="0.2">
      <c r="A34" s="7">
        <v>33</v>
      </c>
      <c r="B34" t="s">
        <v>45</v>
      </c>
      <c r="C34" s="7">
        <v>33</v>
      </c>
      <c r="D34" s="3"/>
      <c r="E34">
        <v>27.96</v>
      </c>
      <c r="F34">
        <v>28.75</v>
      </c>
    </row>
    <row r="35" spans="1:6" x14ac:dyDescent="0.2">
      <c r="A35" s="7">
        <v>34</v>
      </c>
      <c r="B35" t="s">
        <v>46</v>
      </c>
      <c r="C35" s="7">
        <v>34</v>
      </c>
      <c r="D35" s="3"/>
      <c r="E35">
        <v>31.4</v>
      </c>
      <c r="F35">
        <v>31.74</v>
      </c>
    </row>
    <row r="36" spans="1:6" x14ac:dyDescent="0.2">
      <c r="A36" s="7">
        <v>35</v>
      </c>
      <c r="B36" t="s">
        <v>47</v>
      </c>
      <c r="C36" s="7">
        <v>35</v>
      </c>
      <c r="D36" s="3"/>
      <c r="E36">
        <v>27.32</v>
      </c>
      <c r="F36">
        <v>27.45</v>
      </c>
    </row>
    <row r="37" spans="1:6" x14ac:dyDescent="0.2">
      <c r="A37" s="13">
        <v>36</v>
      </c>
      <c r="B37" t="s">
        <v>48</v>
      </c>
      <c r="C37" s="13">
        <v>36</v>
      </c>
      <c r="D37" s="20"/>
    </row>
    <row r="38" spans="1:6" x14ac:dyDescent="0.2">
      <c r="A38" s="13">
        <v>37</v>
      </c>
      <c r="B38" t="s">
        <v>49</v>
      </c>
      <c r="C38" s="13">
        <v>37</v>
      </c>
      <c r="D38" s="3" t="s">
        <v>143</v>
      </c>
    </row>
    <row r="39" spans="1:6" x14ac:dyDescent="0.2">
      <c r="A39" s="7">
        <v>38</v>
      </c>
      <c r="B39" t="s">
        <v>50</v>
      </c>
      <c r="C39" s="7">
        <v>38</v>
      </c>
      <c r="D39" s="3" t="s">
        <v>48</v>
      </c>
      <c r="E39" s="31">
        <v>23.62</v>
      </c>
      <c r="F39" s="31">
        <v>24.21</v>
      </c>
    </row>
    <row r="40" spans="1:6" x14ac:dyDescent="0.2">
      <c r="A40" s="7">
        <v>39</v>
      </c>
      <c r="B40" t="s">
        <v>51</v>
      </c>
      <c r="C40" s="7">
        <v>39</v>
      </c>
      <c r="D40" s="3" t="s">
        <v>150</v>
      </c>
    </row>
    <row r="41" spans="1:6" x14ac:dyDescent="0.2">
      <c r="A41" s="7">
        <v>40</v>
      </c>
      <c r="B41" t="s">
        <v>52</v>
      </c>
      <c r="C41" s="7">
        <v>40</v>
      </c>
      <c r="D41" s="14" t="s">
        <v>37</v>
      </c>
    </row>
    <row r="42" spans="1:6" x14ac:dyDescent="0.2">
      <c r="A42" s="7">
        <v>41</v>
      </c>
      <c r="B42" t="s">
        <v>53</v>
      </c>
      <c r="C42" s="7">
        <v>41</v>
      </c>
      <c r="D42" s="3" t="s">
        <v>18</v>
      </c>
      <c r="E42">
        <v>32.5</v>
      </c>
      <c r="F42">
        <v>32.700000000000003</v>
      </c>
    </row>
    <row r="43" spans="1:6" x14ac:dyDescent="0.2">
      <c r="A43" s="7">
        <v>42</v>
      </c>
      <c r="B43" t="s">
        <v>54</v>
      </c>
      <c r="C43" s="7">
        <v>42</v>
      </c>
      <c r="D43" s="3" t="s">
        <v>18</v>
      </c>
      <c r="E43">
        <v>25.9</v>
      </c>
      <c r="F43">
        <v>26.1</v>
      </c>
    </row>
    <row r="44" spans="1:6" x14ac:dyDescent="0.2">
      <c r="A44" s="7">
        <v>43</v>
      </c>
      <c r="B44" t="s">
        <v>55</v>
      </c>
      <c r="C44" s="7">
        <v>43</v>
      </c>
      <c r="D44" s="3" t="s">
        <v>18</v>
      </c>
      <c r="E44">
        <v>29.6</v>
      </c>
      <c r="F44">
        <v>20.16</v>
      </c>
    </row>
    <row r="45" spans="1:6" x14ac:dyDescent="0.2">
      <c r="A45" s="7">
        <v>44</v>
      </c>
      <c r="B45" t="s">
        <v>56</v>
      </c>
      <c r="C45" s="7">
        <v>44</v>
      </c>
      <c r="D45" s="3"/>
    </row>
    <row r="46" spans="1:6" x14ac:dyDescent="0.2">
      <c r="A46" s="7">
        <v>45</v>
      </c>
      <c r="B46" t="s">
        <v>57</v>
      </c>
      <c r="C46" s="7">
        <v>45</v>
      </c>
      <c r="D46" s="20" t="s">
        <v>144</v>
      </c>
      <c r="E46">
        <v>38.700000000000003</v>
      </c>
      <c r="F46">
        <v>38.200000000000003</v>
      </c>
    </row>
    <row r="47" spans="1:6" x14ac:dyDescent="0.2">
      <c r="A47" s="7">
        <v>46</v>
      </c>
      <c r="B47" t="s">
        <v>58</v>
      </c>
      <c r="C47" s="7">
        <v>46</v>
      </c>
      <c r="D47" s="20" t="s">
        <v>18</v>
      </c>
      <c r="E47">
        <v>30.1</v>
      </c>
      <c r="F47">
        <v>31.2</v>
      </c>
    </row>
    <row r="48" spans="1:6" x14ac:dyDescent="0.2">
      <c r="A48" s="7">
        <v>47</v>
      </c>
      <c r="B48" t="s">
        <v>59</v>
      </c>
      <c r="C48" s="7">
        <v>47</v>
      </c>
      <c r="D48" s="20"/>
    </row>
    <row r="49" spans="1:6" x14ac:dyDescent="0.2">
      <c r="A49" s="7">
        <v>48</v>
      </c>
      <c r="B49" t="s">
        <v>60</v>
      </c>
      <c r="C49" s="7">
        <v>48</v>
      </c>
      <c r="D49" s="14" t="s">
        <v>18</v>
      </c>
      <c r="E49">
        <v>31.7</v>
      </c>
      <c r="F49">
        <v>31.6</v>
      </c>
    </row>
    <row r="50" spans="1:6" x14ac:dyDescent="0.2">
      <c r="A50" s="7">
        <v>49</v>
      </c>
      <c r="B50" t="s">
        <v>61</v>
      </c>
      <c r="C50" s="7">
        <v>49</v>
      </c>
      <c r="D50" s="3" t="s">
        <v>20</v>
      </c>
      <c r="E50" s="31">
        <v>33.31</v>
      </c>
      <c r="F50" s="31">
        <v>34.71</v>
      </c>
    </row>
    <row r="51" spans="1:6" x14ac:dyDescent="0.2">
      <c r="A51" s="7">
        <v>50</v>
      </c>
      <c r="B51" t="s">
        <v>62</v>
      </c>
      <c r="C51" s="7">
        <v>50</v>
      </c>
      <c r="D51" s="3" t="s">
        <v>48</v>
      </c>
      <c r="E51">
        <v>16.28</v>
      </c>
      <c r="F51">
        <v>14.1</v>
      </c>
    </row>
    <row r="52" spans="1:6" x14ac:dyDescent="0.2">
      <c r="A52" s="7">
        <v>51</v>
      </c>
      <c r="B52" t="s">
        <v>63</v>
      </c>
      <c r="C52" s="7">
        <v>51</v>
      </c>
      <c r="D52" s="3" t="s">
        <v>150</v>
      </c>
      <c r="E52" s="31">
        <v>28.45</v>
      </c>
      <c r="F52" s="31">
        <v>30.88</v>
      </c>
    </row>
    <row r="53" spans="1:6" x14ac:dyDescent="0.2">
      <c r="A53" s="7">
        <v>52</v>
      </c>
      <c r="B53" t="s">
        <v>64</v>
      </c>
      <c r="C53" s="7">
        <v>52</v>
      </c>
      <c r="D53" s="3" t="s">
        <v>150</v>
      </c>
      <c r="E53" s="31">
        <v>36.33</v>
      </c>
      <c r="F53" s="31">
        <v>39.83</v>
      </c>
    </row>
    <row r="54" spans="1:6" x14ac:dyDescent="0.2">
      <c r="A54" s="7">
        <v>53</v>
      </c>
      <c r="B54" t="s">
        <v>65</v>
      </c>
      <c r="C54" s="7">
        <v>53</v>
      </c>
      <c r="D54" s="3"/>
      <c r="E54">
        <v>20.05</v>
      </c>
      <c r="F54">
        <v>19.97</v>
      </c>
    </row>
    <row r="55" spans="1:6" x14ac:dyDescent="0.2">
      <c r="A55" s="7">
        <v>54</v>
      </c>
      <c r="B55" t="s">
        <v>66</v>
      </c>
      <c r="C55" s="7">
        <v>54</v>
      </c>
      <c r="D55" s="3"/>
      <c r="E55" s="30">
        <v>30.97</v>
      </c>
      <c r="F55" s="30">
        <v>32.03</v>
      </c>
    </row>
    <row r="56" spans="1:6" x14ac:dyDescent="0.2">
      <c r="A56" s="7">
        <v>55</v>
      </c>
      <c r="B56" t="s">
        <v>67</v>
      </c>
      <c r="C56" s="7">
        <v>55</v>
      </c>
      <c r="D56" s="3" t="s">
        <v>48</v>
      </c>
      <c r="E56" s="31">
        <v>19.3</v>
      </c>
      <c r="F56" s="31">
        <v>20.14</v>
      </c>
    </row>
    <row r="57" spans="1:6" x14ac:dyDescent="0.2">
      <c r="A57" s="7">
        <v>56</v>
      </c>
      <c r="B57" t="s">
        <v>68</v>
      </c>
      <c r="C57" s="7">
        <v>56</v>
      </c>
      <c r="D57" s="3" t="s">
        <v>48</v>
      </c>
      <c r="E57" s="31">
        <v>38.299999999999997</v>
      </c>
      <c r="F57" s="31">
        <v>39.92</v>
      </c>
    </row>
    <row r="58" spans="1:6" x14ac:dyDescent="0.2">
      <c r="A58" s="7">
        <v>57</v>
      </c>
      <c r="B58" t="s">
        <v>69</v>
      </c>
      <c r="C58" s="7">
        <v>57</v>
      </c>
      <c r="D58" s="3" t="s">
        <v>48</v>
      </c>
    </row>
    <row r="59" spans="1:6" x14ac:dyDescent="0.2">
      <c r="A59" s="7">
        <v>58</v>
      </c>
      <c r="B59" t="s">
        <v>70</v>
      </c>
      <c r="C59" s="7">
        <v>58</v>
      </c>
      <c r="D59" s="3" t="s">
        <v>18</v>
      </c>
      <c r="E59">
        <v>37.799999999999997</v>
      </c>
      <c r="F59">
        <v>38</v>
      </c>
    </row>
    <row r="60" spans="1:6" x14ac:dyDescent="0.2">
      <c r="A60" s="7">
        <v>59</v>
      </c>
      <c r="B60" t="s">
        <v>71</v>
      </c>
      <c r="C60" s="7">
        <v>59</v>
      </c>
      <c r="D60" s="20"/>
    </row>
    <row r="61" spans="1:6" x14ac:dyDescent="0.2">
      <c r="A61" s="7">
        <v>60</v>
      </c>
      <c r="B61" t="s">
        <v>72</v>
      </c>
      <c r="C61" s="7">
        <v>60</v>
      </c>
      <c r="D61" s="3"/>
      <c r="E61">
        <v>29.38</v>
      </c>
      <c r="F61">
        <v>29.63</v>
      </c>
    </row>
    <row r="62" spans="1:6" x14ac:dyDescent="0.2">
      <c r="A62" s="7">
        <v>61</v>
      </c>
      <c r="B62" t="s">
        <v>73</v>
      </c>
      <c r="C62" s="7">
        <v>61</v>
      </c>
      <c r="D62" s="3" t="s">
        <v>20</v>
      </c>
      <c r="E62" s="31">
        <v>37.590000000000003</v>
      </c>
      <c r="F62" s="31">
        <v>37.880000000000003</v>
      </c>
    </row>
    <row r="63" spans="1:6" x14ac:dyDescent="0.2">
      <c r="A63" s="7">
        <v>62</v>
      </c>
      <c r="B63" t="s">
        <v>74</v>
      </c>
      <c r="C63" s="7">
        <v>62</v>
      </c>
      <c r="D63" s="20" t="s">
        <v>48</v>
      </c>
      <c r="E63" s="31">
        <v>25.14</v>
      </c>
      <c r="F63" s="31">
        <v>26.06</v>
      </c>
    </row>
    <row r="64" spans="1:6" x14ac:dyDescent="0.2">
      <c r="A64" s="7">
        <v>63</v>
      </c>
      <c r="B64" t="s">
        <v>75</v>
      </c>
      <c r="C64" s="7">
        <v>63</v>
      </c>
      <c r="D64" s="3" t="s">
        <v>67</v>
      </c>
      <c r="E64" s="31">
        <v>12.37</v>
      </c>
      <c r="F64" s="31">
        <v>15.49</v>
      </c>
    </row>
    <row r="65" spans="1:6" x14ac:dyDescent="0.2">
      <c r="A65" s="7">
        <v>64</v>
      </c>
      <c r="B65" t="s">
        <v>76</v>
      </c>
      <c r="C65" s="7">
        <v>64</v>
      </c>
      <c r="D65" s="3" t="s">
        <v>67</v>
      </c>
      <c r="E65" s="31">
        <v>23.19</v>
      </c>
      <c r="F65" s="31">
        <v>26.01</v>
      </c>
    </row>
    <row r="66" spans="1:6" x14ac:dyDescent="0.2">
      <c r="A66" s="7">
        <v>65</v>
      </c>
      <c r="B66" t="s">
        <v>77</v>
      </c>
      <c r="C66" s="7">
        <v>65</v>
      </c>
      <c r="D66" s="3" t="s">
        <v>48</v>
      </c>
      <c r="E66" s="31">
        <v>17.34</v>
      </c>
      <c r="F66" s="31">
        <v>19.16</v>
      </c>
    </row>
    <row r="67" spans="1:6" x14ac:dyDescent="0.2">
      <c r="A67" s="7">
        <v>66</v>
      </c>
      <c r="B67" t="s">
        <v>78</v>
      </c>
      <c r="C67" s="7">
        <v>66</v>
      </c>
      <c r="D67" s="3" t="s">
        <v>35</v>
      </c>
      <c r="E67">
        <v>37.799999999999997</v>
      </c>
      <c r="F67">
        <v>38.200000000000003</v>
      </c>
    </row>
    <row r="68" spans="1:6" x14ac:dyDescent="0.2">
      <c r="A68" s="7">
        <v>67</v>
      </c>
      <c r="B68" t="s">
        <v>79</v>
      </c>
      <c r="C68" s="7">
        <v>67</v>
      </c>
      <c r="D68" s="20" t="s">
        <v>23</v>
      </c>
      <c r="E68">
        <v>37.200000000000003</v>
      </c>
      <c r="F68">
        <v>36.799999999999997</v>
      </c>
    </row>
    <row r="69" spans="1:6" x14ac:dyDescent="0.2">
      <c r="A69" s="7">
        <v>68</v>
      </c>
      <c r="B69" t="s">
        <v>80</v>
      </c>
      <c r="C69" s="7">
        <v>68</v>
      </c>
      <c r="D69" s="20"/>
      <c r="E69">
        <v>36.99</v>
      </c>
      <c r="F69">
        <v>35.71</v>
      </c>
    </row>
    <row r="70" spans="1:6" x14ac:dyDescent="0.2">
      <c r="A70" s="7">
        <v>69</v>
      </c>
      <c r="B70" t="s">
        <v>81</v>
      </c>
      <c r="C70" s="7">
        <v>69</v>
      </c>
      <c r="D70" s="20" t="s">
        <v>32</v>
      </c>
      <c r="E70">
        <v>27.8</v>
      </c>
      <c r="F70">
        <v>28.1</v>
      </c>
    </row>
    <row r="71" spans="1:6" x14ac:dyDescent="0.2">
      <c r="A71" s="7">
        <v>70</v>
      </c>
      <c r="B71" t="s">
        <v>82</v>
      </c>
      <c r="C71" s="7">
        <v>70</v>
      </c>
      <c r="D71" s="3" t="s">
        <v>88</v>
      </c>
    </row>
    <row r="72" spans="1:6" x14ac:dyDescent="0.2">
      <c r="A72" s="7">
        <v>71</v>
      </c>
      <c r="B72" t="s">
        <v>83</v>
      </c>
      <c r="C72" s="7">
        <v>71</v>
      </c>
      <c r="D72" s="3" t="s">
        <v>151</v>
      </c>
    </row>
    <row r="73" spans="1:6" x14ac:dyDescent="0.2">
      <c r="A73" s="7">
        <v>72</v>
      </c>
      <c r="B73" t="s">
        <v>84</v>
      </c>
      <c r="C73" s="7">
        <v>72</v>
      </c>
      <c r="D73" s="3" t="s">
        <v>100</v>
      </c>
      <c r="E73">
        <v>34.9</v>
      </c>
      <c r="F73">
        <v>35.1</v>
      </c>
    </row>
    <row r="74" spans="1:6" x14ac:dyDescent="0.2">
      <c r="A74" s="7">
        <v>73</v>
      </c>
      <c r="B74" t="s">
        <v>85</v>
      </c>
      <c r="C74" s="7">
        <v>73</v>
      </c>
      <c r="D74" s="20" t="s">
        <v>18</v>
      </c>
      <c r="E74">
        <v>27</v>
      </c>
      <c r="F74">
        <v>29.2</v>
      </c>
    </row>
    <row r="75" spans="1:6" x14ac:dyDescent="0.2">
      <c r="A75" s="7">
        <v>74</v>
      </c>
      <c r="B75" t="s">
        <v>86</v>
      </c>
      <c r="C75" s="7">
        <v>74</v>
      </c>
      <c r="D75" s="3" t="s">
        <v>22</v>
      </c>
      <c r="E75">
        <v>23.4</v>
      </c>
      <c r="F75">
        <v>24.5</v>
      </c>
    </row>
    <row r="76" spans="1:6" x14ac:dyDescent="0.2">
      <c r="A76" s="7">
        <v>75</v>
      </c>
      <c r="B76" t="s">
        <v>87</v>
      </c>
      <c r="C76" s="7">
        <v>75</v>
      </c>
      <c r="D76" s="20" t="s">
        <v>32</v>
      </c>
      <c r="E76">
        <v>31.01</v>
      </c>
      <c r="F76">
        <v>31.6</v>
      </c>
    </row>
    <row r="77" spans="1:6" x14ac:dyDescent="0.2">
      <c r="A77" s="7">
        <v>76</v>
      </c>
      <c r="B77" t="s">
        <v>88</v>
      </c>
      <c r="C77" s="7">
        <v>76</v>
      </c>
      <c r="D77" s="3" t="s">
        <v>20</v>
      </c>
      <c r="E77" s="31">
        <v>23.05</v>
      </c>
      <c r="F77" s="31">
        <v>24.07</v>
      </c>
    </row>
    <row r="78" spans="1:6" x14ac:dyDescent="0.2">
      <c r="A78" s="7">
        <v>77</v>
      </c>
      <c r="B78" t="s">
        <v>89</v>
      </c>
      <c r="C78" s="7">
        <v>77</v>
      </c>
      <c r="D78" s="3"/>
      <c r="E78" s="31">
        <v>19.32</v>
      </c>
      <c r="F78" s="31">
        <v>18.88</v>
      </c>
    </row>
    <row r="79" spans="1:6" x14ac:dyDescent="0.2">
      <c r="A79" s="7">
        <v>78</v>
      </c>
      <c r="B79" t="s">
        <v>90</v>
      </c>
      <c r="C79" s="7">
        <v>78</v>
      </c>
      <c r="D79" s="3" t="s">
        <v>48</v>
      </c>
      <c r="E79" s="31">
        <v>28.77</v>
      </c>
      <c r="F79" s="31">
        <v>28.23</v>
      </c>
    </row>
    <row r="80" spans="1:6" x14ac:dyDescent="0.2">
      <c r="A80" s="7">
        <v>79</v>
      </c>
      <c r="B80" t="s">
        <v>91</v>
      </c>
      <c r="C80" s="7">
        <v>79</v>
      </c>
      <c r="D80" s="3" t="s">
        <v>143</v>
      </c>
      <c r="E80" s="31">
        <v>22.59</v>
      </c>
      <c r="F80" s="31">
        <v>22.21</v>
      </c>
    </row>
    <row r="81" spans="1:6" x14ac:dyDescent="0.2">
      <c r="A81" s="7">
        <v>80</v>
      </c>
      <c r="B81" t="s">
        <v>92</v>
      </c>
      <c r="C81" s="7">
        <v>80</v>
      </c>
      <c r="D81" s="3" t="s">
        <v>90</v>
      </c>
      <c r="E81" s="31">
        <v>19.690000000000001</v>
      </c>
      <c r="F81" s="31">
        <v>22.23</v>
      </c>
    </row>
    <row r="82" spans="1:6" x14ac:dyDescent="0.2">
      <c r="A82" s="7">
        <v>81</v>
      </c>
      <c r="B82" t="s">
        <v>93</v>
      </c>
      <c r="C82" s="7">
        <v>81</v>
      </c>
      <c r="D82" s="3"/>
      <c r="E82">
        <v>26.13</v>
      </c>
      <c r="F82">
        <v>27.11</v>
      </c>
    </row>
    <row r="83" spans="1:6" x14ac:dyDescent="0.2">
      <c r="A83" s="7">
        <v>82</v>
      </c>
      <c r="B83" t="s">
        <v>94</v>
      </c>
      <c r="C83" s="7">
        <v>82</v>
      </c>
      <c r="D83" s="3" t="s">
        <v>48</v>
      </c>
      <c r="E83" s="31">
        <v>24.73</v>
      </c>
      <c r="F83" s="31">
        <v>27.48</v>
      </c>
    </row>
    <row r="84" spans="1:6" x14ac:dyDescent="0.2">
      <c r="A84" s="7">
        <v>83</v>
      </c>
      <c r="B84" t="s">
        <v>95</v>
      </c>
      <c r="C84" s="7">
        <v>83</v>
      </c>
      <c r="D84" s="3" t="s">
        <v>143</v>
      </c>
      <c r="E84" s="31">
        <v>16.27</v>
      </c>
      <c r="F84" s="31">
        <v>19.07</v>
      </c>
    </row>
    <row r="85" spans="1:6" x14ac:dyDescent="0.2">
      <c r="A85" s="7">
        <v>84</v>
      </c>
      <c r="B85" t="s">
        <v>96</v>
      </c>
      <c r="C85" s="7">
        <v>84</v>
      </c>
      <c r="D85" s="3" t="s">
        <v>92</v>
      </c>
      <c r="E85" s="31">
        <v>30.55</v>
      </c>
      <c r="F85" s="31">
        <v>29.16</v>
      </c>
    </row>
    <row r="86" spans="1:6" x14ac:dyDescent="0.2">
      <c r="A86" s="7">
        <v>85</v>
      </c>
      <c r="B86" t="s">
        <v>97</v>
      </c>
      <c r="C86" s="7">
        <v>85</v>
      </c>
      <c r="D86" s="3" t="s">
        <v>19</v>
      </c>
      <c r="E86">
        <v>38.76</v>
      </c>
      <c r="F86">
        <v>39.1</v>
      </c>
    </row>
    <row r="87" spans="1:6" x14ac:dyDescent="0.2">
      <c r="A87" s="7">
        <v>86</v>
      </c>
      <c r="B87" t="s">
        <v>98</v>
      </c>
      <c r="C87" s="7">
        <v>86</v>
      </c>
      <c r="D87" s="3" t="s">
        <v>67</v>
      </c>
      <c r="E87" s="31">
        <v>27.85</v>
      </c>
      <c r="F87" s="31">
        <v>28.9</v>
      </c>
    </row>
    <row r="88" spans="1:6" x14ac:dyDescent="0.2">
      <c r="A88" s="15">
        <v>87</v>
      </c>
      <c r="B88" t="s">
        <v>99</v>
      </c>
      <c r="C88" s="15">
        <v>87</v>
      </c>
      <c r="D88" s="3" t="s">
        <v>48</v>
      </c>
      <c r="E88" s="31">
        <v>18.48</v>
      </c>
      <c r="F88">
        <v>20.079999999999998</v>
      </c>
    </row>
    <row r="89" spans="1:6" x14ac:dyDescent="0.2">
      <c r="A89" s="7">
        <v>88</v>
      </c>
      <c r="B89" t="s">
        <v>100</v>
      </c>
      <c r="C89" s="7">
        <v>88</v>
      </c>
      <c r="D89" s="3" t="s">
        <v>20</v>
      </c>
      <c r="E89" s="31">
        <v>20.38</v>
      </c>
      <c r="F89" s="31">
        <v>21.93</v>
      </c>
    </row>
    <row r="90" spans="1:6" x14ac:dyDescent="0.2">
      <c r="A90" s="15">
        <v>89</v>
      </c>
      <c r="B90" t="s">
        <v>101</v>
      </c>
      <c r="C90" s="15">
        <v>89</v>
      </c>
      <c r="D90" s="3" t="s">
        <v>48</v>
      </c>
      <c r="E90" s="31">
        <v>16.399999999999999</v>
      </c>
      <c r="F90" s="31">
        <v>18.05</v>
      </c>
    </row>
    <row r="91" spans="1:6" x14ac:dyDescent="0.2">
      <c r="A91" s="7">
        <v>90</v>
      </c>
      <c r="B91" t="s">
        <v>102</v>
      </c>
      <c r="C91" s="7">
        <v>90</v>
      </c>
      <c r="D91" s="3" t="s">
        <v>145</v>
      </c>
    </row>
    <row r="92" spans="1:6" x14ac:dyDescent="0.2">
      <c r="A92" s="7">
        <v>91</v>
      </c>
      <c r="B92" t="s">
        <v>103</v>
      </c>
      <c r="C92" s="7">
        <v>91</v>
      </c>
      <c r="D92" s="3" t="s">
        <v>145</v>
      </c>
      <c r="E92">
        <v>22.2</v>
      </c>
      <c r="F92">
        <v>24.21</v>
      </c>
    </row>
    <row r="93" spans="1:6" x14ac:dyDescent="0.2">
      <c r="A93" s="7">
        <v>92</v>
      </c>
      <c r="B93" t="s">
        <v>104</v>
      </c>
      <c r="C93" s="7">
        <v>92</v>
      </c>
      <c r="D93" s="3" t="s">
        <v>146</v>
      </c>
      <c r="E93">
        <v>22.41</v>
      </c>
      <c r="F93">
        <v>22.9</v>
      </c>
    </row>
    <row r="94" spans="1:6" x14ac:dyDescent="0.2">
      <c r="A94" s="15">
        <v>93</v>
      </c>
      <c r="B94" t="s">
        <v>105</v>
      </c>
      <c r="C94" s="15">
        <v>93</v>
      </c>
      <c r="D94" s="21" t="s">
        <v>147</v>
      </c>
      <c r="E94" s="31">
        <v>21.8</v>
      </c>
      <c r="F94" s="31">
        <v>24.25</v>
      </c>
    </row>
    <row r="95" spans="1:6" x14ac:dyDescent="0.2">
      <c r="A95" s="7">
        <v>94</v>
      </c>
      <c r="B95" t="s">
        <v>106</v>
      </c>
      <c r="C95" s="7">
        <v>94</v>
      </c>
      <c r="D95" s="3" t="s">
        <v>100</v>
      </c>
      <c r="E95" s="31">
        <v>22.9</v>
      </c>
      <c r="F95" s="31">
        <v>25.58</v>
      </c>
    </row>
    <row r="96" spans="1:6" x14ac:dyDescent="0.2">
      <c r="A96" s="7">
        <v>95</v>
      </c>
      <c r="B96" t="s">
        <v>107</v>
      </c>
      <c r="C96" s="7">
        <v>95</v>
      </c>
      <c r="D96" s="3" t="s">
        <v>48</v>
      </c>
      <c r="E96" s="31">
        <v>16.28</v>
      </c>
      <c r="F96" s="31">
        <v>20.170000000000002</v>
      </c>
    </row>
    <row r="97" spans="1:6" x14ac:dyDescent="0.2">
      <c r="A97" s="7">
        <v>96</v>
      </c>
      <c r="B97" t="s">
        <v>108</v>
      </c>
      <c r="C97" s="7">
        <v>96</v>
      </c>
      <c r="D97" s="3" t="s">
        <v>112</v>
      </c>
      <c r="E97" s="31">
        <v>26.02</v>
      </c>
      <c r="F97" s="31">
        <v>28.5</v>
      </c>
    </row>
    <row r="98" spans="1:6" x14ac:dyDescent="0.2">
      <c r="A98" s="16">
        <v>97</v>
      </c>
      <c r="B98" t="s">
        <v>109</v>
      </c>
      <c r="C98" s="16">
        <v>97</v>
      </c>
      <c r="D98" s="22" t="s">
        <v>148</v>
      </c>
    </row>
    <row r="99" spans="1:6" x14ac:dyDescent="0.2">
      <c r="A99" s="7">
        <v>98</v>
      </c>
      <c r="B99" t="s">
        <v>110</v>
      </c>
      <c r="C99" s="7">
        <v>98</v>
      </c>
      <c r="D99" s="3" t="s">
        <v>152</v>
      </c>
      <c r="E99" s="31">
        <v>25.88</v>
      </c>
      <c r="F99" s="31">
        <v>29.1</v>
      </c>
    </row>
    <row r="100" spans="1:6" x14ac:dyDescent="0.2">
      <c r="A100" s="7">
        <v>98</v>
      </c>
      <c r="B100" t="s">
        <v>110</v>
      </c>
      <c r="C100" s="7">
        <v>98</v>
      </c>
      <c r="D100" s="3" t="s">
        <v>153</v>
      </c>
    </row>
    <row r="101" spans="1:6" x14ac:dyDescent="0.2">
      <c r="A101" s="7">
        <v>98</v>
      </c>
      <c r="B101" t="s">
        <v>110</v>
      </c>
      <c r="C101" s="7">
        <v>98</v>
      </c>
      <c r="D101" s="3" t="s">
        <v>154</v>
      </c>
    </row>
    <row r="102" spans="1:6" x14ac:dyDescent="0.2">
      <c r="A102" s="7">
        <v>99</v>
      </c>
      <c r="B102" t="s">
        <v>111</v>
      </c>
      <c r="C102" s="7">
        <v>99</v>
      </c>
      <c r="D102" s="3" t="s">
        <v>110</v>
      </c>
      <c r="E102" s="31">
        <v>17.690000000000001</v>
      </c>
      <c r="F102" s="31">
        <v>20.16</v>
      </c>
    </row>
    <row r="103" spans="1:6" x14ac:dyDescent="0.2">
      <c r="A103" s="7">
        <v>100</v>
      </c>
      <c r="B103" t="s">
        <v>112</v>
      </c>
      <c r="C103" s="7">
        <v>100</v>
      </c>
      <c r="D103" s="3" t="s">
        <v>20</v>
      </c>
      <c r="E103" s="31">
        <v>32.53</v>
      </c>
      <c r="F103" s="31">
        <v>33.85</v>
      </c>
    </row>
    <row r="104" spans="1:6" x14ac:dyDescent="0.2">
      <c r="A104" s="7">
        <v>101</v>
      </c>
      <c r="B104" t="s">
        <v>113</v>
      </c>
      <c r="C104" s="7">
        <v>101</v>
      </c>
      <c r="D104" s="23" t="s">
        <v>109</v>
      </c>
    </row>
    <row r="105" spans="1:6" x14ac:dyDescent="0.2">
      <c r="A105" s="7">
        <v>102</v>
      </c>
      <c r="B105" t="s">
        <v>114</v>
      </c>
      <c r="C105" s="7">
        <v>102</v>
      </c>
      <c r="D105" s="3" t="s">
        <v>148</v>
      </c>
      <c r="E105" s="31">
        <v>26.16</v>
      </c>
      <c r="F105" s="31">
        <v>28.71</v>
      </c>
    </row>
    <row r="106" spans="1:6" x14ac:dyDescent="0.2">
      <c r="A106" s="7">
        <v>103</v>
      </c>
      <c r="B106" t="s">
        <v>115</v>
      </c>
      <c r="C106" s="7">
        <v>103</v>
      </c>
      <c r="D106" s="3"/>
      <c r="E106" s="31">
        <v>21.64</v>
      </c>
      <c r="F106" s="31">
        <v>24.71</v>
      </c>
    </row>
    <row r="107" spans="1:6" x14ac:dyDescent="0.2">
      <c r="A107" s="7">
        <v>104</v>
      </c>
      <c r="B107" t="s">
        <v>155</v>
      </c>
      <c r="C107" s="7">
        <v>104</v>
      </c>
      <c r="D107" s="24" t="s">
        <v>156</v>
      </c>
      <c r="E107">
        <v>14.13</v>
      </c>
      <c r="F107">
        <v>17.065000000000001</v>
      </c>
    </row>
    <row r="108" spans="1:6" x14ac:dyDescent="0.2">
      <c r="A108" s="7">
        <v>104</v>
      </c>
      <c r="B108" t="s">
        <v>155</v>
      </c>
      <c r="C108" s="7">
        <v>104</v>
      </c>
      <c r="D108" s="24" t="s">
        <v>157</v>
      </c>
    </row>
    <row r="109" spans="1:6" x14ac:dyDescent="0.2">
      <c r="A109" s="7">
        <v>105</v>
      </c>
      <c r="B109" t="s">
        <v>116</v>
      </c>
      <c r="C109" s="7">
        <v>105</v>
      </c>
      <c r="D109" s="3" t="s">
        <v>84</v>
      </c>
      <c r="E109" s="31">
        <v>21.67</v>
      </c>
      <c r="F109" s="31">
        <v>23.16</v>
      </c>
    </row>
    <row r="110" spans="1:6" x14ac:dyDescent="0.2">
      <c r="A110" s="7">
        <v>106</v>
      </c>
      <c r="B110" t="s">
        <v>117</v>
      </c>
      <c r="C110" s="7">
        <v>106</v>
      </c>
      <c r="D110" s="3" t="s">
        <v>84</v>
      </c>
      <c r="E110" s="31">
        <v>31.14</v>
      </c>
      <c r="F110" s="31">
        <v>32.04</v>
      </c>
    </row>
    <row r="111" spans="1:6" x14ac:dyDescent="0.2">
      <c r="A111" s="7">
        <v>107</v>
      </c>
      <c r="B111" t="s">
        <v>118</v>
      </c>
      <c r="C111" s="7">
        <v>107</v>
      </c>
      <c r="D111" s="3" t="s">
        <v>121</v>
      </c>
      <c r="E111" s="31">
        <v>27.39</v>
      </c>
      <c r="F111" s="31">
        <v>28.41</v>
      </c>
    </row>
    <row r="112" spans="1:6" x14ac:dyDescent="0.2">
      <c r="A112" s="7">
        <v>108</v>
      </c>
      <c r="B112" t="s">
        <v>119</v>
      </c>
      <c r="C112" s="7">
        <v>108</v>
      </c>
      <c r="D112" s="3" t="s">
        <v>84</v>
      </c>
      <c r="E112" s="31">
        <v>21.62</v>
      </c>
      <c r="F112" s="31">
        <v>23.61</v>
      </c>
    </row>
    <row r="113" spans="1:6" x14ac:dyDescent="0.2">
      <c r="A113" s="7">
        <v>109</v>
      </c>
      <c r="B113" t="s">
        <v>120</v>
      </c>
      <c r="C113" s="7">
        <v>109</v>
      </c>
      <c r="D113" s="3" t="s">
        <v>110</v>
      </c>
      <c r="E113" s="31">
        <v>25.92</v>
      </c>
      <c r="F113" s="31">
        <v>29.22</v>
      </c>
    </row>
    <row r="114" spans="1:6" x14ac:dyDescent="0.2">
      <c r="A114" s="7">
        <v>110</v>
      </c>
      <c r="B114" t="s">
        <v>121</v>
      </c>
      <c r="C114" s="7">
        <v>110</v>
      </c>
      <c r="D114" s="3" t="s">
        <v>48</v>
      </c>
      <c r="E114" s="31">
        <v>32.14</v>
      </c>
      <c r="F114" s="31">
        <v>33.81</v>
      </c>
    </row>
    <row r="115" spans="1:6" x14ac:dyDescent="0.2">
      <c r="A115" s="7">
        <v>111</v>
      </c>
      <c r="B115" t="s">
        <v>122</v>
      </c>
      <c r="C115" s="7">
        <v>111</v>
      </c>
      <c r="D115" s="3" t="s">
        <v>122</v>
      </c>
      <c r="E115" s="31">
        <v>21.11</v>
      </c>
      <c r="F115" s="31">
        <v>22.57</v>
      </c>
    </row>
    <row r="116" spans="1:6" x14ac:dyDescent="0.2">
      <c r="A116" s="7">
        <v>112</v>
      </c>
      <c r="B116" t="s">
        <v>123</v>
      </c>
      <c r="C116" s="7">
        <v>112</v>
      </c>
      <c r="D116" s="3" t="s">
        <v>118</v>
      </c>
      <c r="E116" s="31">
        <v>28.4</v>
      </c>
      <c r="F116" s="31">
        <v>28.9</v>
      </c>
    </row>
    <row r="117" spans="1:6" x14ac:dyDescent="0.2">
      <c r="A117" s="7">
        <v>113</v>
      </c>
      <c r="B117" t="s">
        <v>124</v>
      </c>
      <c r="C117" s="7">
        <v>113</v>
      </c>
      <c r="D117" s="3" t="s">
        <v>110</v>
      </c>
      <c r="E117" s="31">
        <v>34.1</v>
      </c>
      <c r="F117" s="31">
        <v>34</v>
      </c>
    </row>
    <row r="118" spans="1:6" x14ac:dyDescent="0.2">
      <c r="A118" s="7">
        <v>114</v>
      </c>
      <c r="B118" t="s">
        <v>125</v>
      </c>
      <c r="C118" s="7">
        <v>114</v>
      </c>
      <c r="D118" s="3" t="s">
        <v>101</v>
      </c>
      <c r="E118" s="31">
        <v>27.19</v>
      </c>
      <c r="F118" s="31">
        <v>28.73</v>
      </c>
    </row>
    <row r="119" spans="1:6" x14ac:dyDescent="0.2">
      <c r="A119" s="16">
        <v>115</v>
      </c>
      <c r="B119" t="s">
        <v>126</v>
      </c>
      <c r="C119" s="16">
        <v>115</v>
      </c>
      <c r="D119" s="22" t="s">
        <v>114</v>
      </c>
      <c r="E119" s="31">
        <v>29.49</v>
      </c>
      <c r="F119" s="31">
        <v>30.84</v>
      </c>
    </row>
    <row r="120" spans="1:6" x14ac:dyDescent="0.2">
      <c r="A120" s="16">
        <v>116</v>
      </c>
      <c r="B120" t="s">
        <v>127</v>
      </c>
      <c r="C120" s="16">
        <v>116</v>
      </c>
      <c r="D120" s="22" t="s">
        <v>91</v>
      </c>
      <c r="E120" s="31">
        <v>32</v>
      </c>
      <c r="F120" s="31">
        <v>33.159999999999997</v>
      </c>
    </row>
    <row r="121" spans="1:6" x14ac:dyDescent="0.2">
      <c r="A121" s="16">
        <v>117</v>
      </c>
      <c r="B121" t="s">
        <v>128</v>
      </c>
      <c r="C121" s="16">
        <v>117</v>
      </c>
      <c r="D121" s="22" t="s">
        <v>20</v>
      </c>
      <c r="E121" s="31">
        <v>37.54</v>
      </c>
      <c r="F121" s="31">
        <v>38.119999999999997</v>
      </c>
    </row>
    <row r="122" spans="1:6" x14ac:dyDescent="0.2">
      <c r="A122" s="16">
        <v>118</v>
      </c>
      <c r="B122" t="s">
        <v>129</v>
      </c>
      <c r="C122" s="16">
        <v>118</v>
      </c>
      <c r="D122" s="22" t="s">
        <v>143</v>
      </c>
      <c r="E122" s="31">
        <v>23</v>
      </c>
      <c r="F122" s="31">
        <v>25.07</v>
      </c>
    </row>
    <row r="123" spans="1:6" x14ac:dyDescent="0.2">
      <c r="A123" s="16">
        <v>119</v>
      </c>
      <c r="B123" t="s">
        <v>130</v>
      </c>
      <c r="C123" s="16">
        <v>119</v>
      </c>
      <c r="D123" s="22" t="s">
        <v>158</v>
      </c>
      <c r="E123" s="31">
        <v>14.67</v>
      </c>
      <c r="F123" s="31">
        <v>11.31</v>
      </c>
    </row>
    <row r="124" spans="1:6" x14ac:dyDescent="0.2">
      <c r="A124" s="16">
        <v>119</v>
      </c>
      <c r="B124" t="s">
        <v>130</v>
      </c>
      <c r="C124" s="16">
        <v>119</v>
      </c>
      <c r="D124" s="22" t="s">
        <v>159</v>
      </c>
    </row>
    <row r="125" spans="1:6" x14ac:dyDescent="0.2">
      <c r="A125" s="16">
        <v>120</v>
      </c>
      <c r="B125" t="s">
        <v>131</v>
      </c>
      <c r="C125" s="16">
        <v>120</v>
      </c>
      <c r="D125" s="16" t="s">
        <v>149</v>
      </c>
      <c r="E125" s="31">
        <v>13.88</v>
      </c>
      <c r="F125" s="31">
        <v>16.739999999999998</v>
      </c>
    </row>
    <row r="126" spans="1:6" x14ac:dyDescent="0.2">
      <c r="A126" s="16">
        <v>121</v>
      </c>
      <c r="B126" t="s">
        <v>132</v>
      </c>
      <c r="C126" s="16">
        <v>121</v>
      </c>
      <c r="D126" s="22" t="s">
        <v>160</v>
      </c>
      <c r="E126" s="31">
        <v>20.58</v>
      </c>
      <c r="F126" s="31">
        <v>22.46</v>
      </c>
    </row>
    <row r="127" spans="1:6" x14ac:dyDescent="0.2">
      <c r="A127" s="16">
        <v>121</v>
      </c>
      <c r="B127" t="s">
        <v>132</v>
      </c>
      <c r="C127" s="16">
        <v>121</v>
      </c>
      <c r="D127" s="22" t="s">
        <v>161</v>
      </c>
    </row>
    <row r="128" spans="1:6" x14ac:dyDescent="0.2">
      <c r="A128" s="17">
        <v>122</v>
      </c>
      <c r="B128" t="s">
        <v>133</v>
      </c>
      <c r="C128" s="17">
        <v>122</v>
      </c>
      <c r="D128" s="25" t="s">
        <v>114</v>
      </c>
      <c r="E128" s="31">
        <v>23.8</v>
      </c>
      <c r="F128" s="31">
        <v>23.6</v>
      </c>
    </row>
    <row r="129" spans="1:6" x14ac:dyDescent="0.2">
      <c r="A129" s="17">
        <v>123</v>
      </c>
      <c r="B129" t="s">
        <v>134</v>
      </c>
      <c r="C129" s="17">
        <v>123</v>
      </c>
      <c r="D129" s="25" t="s">
        <v>150</v>
      </c>
    </row>
    <row r="130" spans="1:6" x14ac:dyDescent="0.2">
      <c r="A130" s="17">
        <v>123</v>
      </c>
      <c r="B130" t="s">
        <v>134</v>
      </c>
      <c r="C130" s="17">
        <v>123</v>
      </c>
      <c r="D130" s="25" t="s">
        <v>162</v>
      </c>
      <c r="E130" s="31">
        <v>36.9</v>
      </c>
      <c r="F130" s="31">
        <v>36.83</v>
      </c>
    </row>
    <row r="131" spans="1:6" x14ac:dyDescent="0.2">
      <c r="A131" s="18">
        <v>124</v>
      </c>
      <c r="B131" t="s">
        <v>135</v>
      </c>
      <c r="C131" s="18">
        <v>124</v>
      </c>
      <c r="D131" s="26"/>
      <c r="E131" s="31">
        <v>38.85</v>
      </c>
    </row>
    <row r="132" spans="1:6" x14ac:dyDescent="0.2">
      <c r="A132" s="18">
        <v>125</v>
      </c>
      <c r="B132" t="s">
        <v>136</v>
      </c>
      <c r="C132" s="18">
        <v>125</v>
      </c>
      <c r="D132" s="26"/>
    </row>
    <row r="133" spans="1:6" x14ac:dyDescent="0.2">
      <c r="A133" s="18">
        <v>126</v>
      </c>
      <c r="B133" t="s">
        <v>137</v>
      </c>
      <c r="C133" s="18">
        <v>126</v>
      </c>
      <c r="D133" s="16" t="s">
        <v>149</v>
      </c>
      <c r="E133">
        <v>31.6</v>
      </c>
      <c r="F133" s="31">
        <v>32.1</v>
      </c>
    </row>
    <row r="134" spans="1:6" x14ac:dyDescent="0.2">
      <c r="A134" s="18">
        <v>127</v>
      </c>
      <c r="B134" t="s">
        <v>138</v>
      </c>
      <c r="C134" s="18">
        <v>127</v>
      </c>
      <c r="D134" s="26"/>
    </row>
    <row r="135" spans="1:6" x14ac:dyDescent="0.2">
      <c r="A135" s="18">
        <v>128</v>
      </c>
      <c r="B135" t="s">
        <v>139</v>
      </c>
      <c r="C135" s="18">
        <v>128</v>
      </c>
      <c r="D135" s="27" t="s">
        <v>110</v>
      </c>
      <c r="E135" s="31">
        <v>23.09</v>
      </c>
      <c r="F135" s="31">
        <v>23.98</v>
      </c>
    </row>
    <row r="136" spans="1:6" x14ac:dyDescent="0.2">
      <c r="A136" s="19">
        <v>129</v>
      </c>
      <c r="B136" t="s">
        <v>140</v>
      </c>
      <c r="C136" s="19">
        <v>129</v>
      </c>
      <c r="D136" s="16" t="s">
        <v>149</v>
      </c>
      <c r="E136" s="31">
        <v>31.31</v>
      </c>
      <c r="F136">
        <v>33.08</v>
      </c>
    </row>
  </sheetData>
  <autoFilter ref="A1:F136" xr:uid="{EFAFF452-6519-4B7A-A39D-F57A8D6C7716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2794-DCCE-4A2F-81B3-17C8CE1C06EE}">
  <dimension ref="A1"/>
  <sheetViews>
    <sheetView workbookViewId="0">
      <selection activeCell="J16" sqref="J16:M30"/>
    </sheetView>
  </sheetViews>
  <sheetFormatPr defaultRowHeight="14.2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 L</dc:creator>
  <cp:lastModifiedBy>LKG</cp:lastModifiedBy>
  <dcterms:created xsi:type="dcterms:W3CDTF">2015-06-05T18:19:34Z</dcterms:created>
  <dcterms:modified xsi:type="dcterms:W3CDTF">2022-05-13T01:00:35Z</dcterms:modified>
</cp:coreProperties>
</file>